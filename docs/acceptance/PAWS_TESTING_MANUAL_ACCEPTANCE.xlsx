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003a5883b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 Acceptance" sheetId="1" r:id="Rf2717e40b7ac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202B3C"/>
      <x:name val="Arial"/>
    </x:font>
    <x:font>
      <x:b/>
      <x:sz val="14"/>
      <x:color rgb="FF18283D"/>
      <x:name val="Arial"/>
    </x:font>
    <x:font>
      <x:i/>
      <x:sz val="10"/>
      <x:color rgb="FF566172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64F"/>
      </x:patternFill>
    </x:fill>
    <x:fill>
      <x:patternFill patternType="solid">
        <x:fgColor rgb="FFFFF6D8"/>
      </x:patternFill>
    </x:fill>
    <x:fill>
      <x:patternFill patternType="solid">
        <x:fgColor rgb="FFFFF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D1919"/>
      </x:font>
      <x:fill>
        <x:patternFill patternType="solid">
          <x:bgColor rgb="FFFDE8E7"/>
        </x:patternFill>
      </x:fill>
    </x:dxf>
    <x:dxf>
      <x:font>
        <x:b/>
        <x:color rgb="FF7B5800"/>
      </x:font>
      <x:fill>
        <x:patternFill patternType="solid">
          <x:bgColor rgb="FFFFF3CD"/>
        </x:patternFill>
      </x:fill>
    </x:dxf>
    <x:dxf>
      <x:font>
        <x:b/>
        <x:color rgb="FF236839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f76605e574588" /><Relationship Type="http://schemas.openxmlformats.org/officeDocument/2006/relationships/theme" Target="/xl/theme/theme1.xml" Id="Re1f4cbb73ef447f7" /><Relationship Type="http://schemas.openxmlformats.org/officeDocument/2006/relationships/sharedStrings" Target="/xl/sharedStrings.xml" Id="Ra03c04d888074167" /><Relationship Type="http://schemas.openxmlformats.org/officeDocument/2006/relationships/worksheet" Target="/xl/worksheets/sheet1.xml" Id="Rf2717e40b7ac499f" /></Relationships>
</file>

<file path=xl/tables/table1.xml><?xml version="1.0" encoding="utf-8"?>
<x:table xmlns:x="http://schemas.openxmlformats.org/spreadsheetml/2006/main" id="1" name="PawsManualAcceptance" displayName="PawsManualAcceptance" ref="A8:M149" headerRowCount="1" totalsRowCount="0" totalsRowShown="0">
  <x:autoFilter ref="A8:M149"/>
  <x:tableColumns count="13">
    <x:tableColumn id="1" name="Test ID"/>
    <x:tableColumn id="2" name="Feature"/>
    <x:tableColumn id="3" name="Role / persona"/>
    <x:tableColumn id="4" name="Lane"/>
    <x:tableColumn id="5" name="Preconditions"/>
    <x:tableColumn id="6" name="Steps"/>
    <x:tableColumn id="7" name="Expected result"/>
    <x:tableColumn id="8" name="Status"/>
    <x:tableColumn id="9" name="Actual result"/>
    <x:tableColumn id="10" name="Evidence / defect"/>
    <x:tableColumn id="11" name="Tester"/>
    <x:tableColumn id="12" name="Test date"/>
    <x:tableColumn id="13" name="Source / gap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d461a73621460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3" hidden="0" customWidth="1"/>
    <x:col min="2" max="2" width="27" hidden="0" customWidth="1"/>
    <x:col min="3" max="3" width="26" hidden="0" customWidth="1"/>
    <x:col min="4" max="4" width="11" hidden="0" customWidth="1"/>
    <x:col min="5" max="5" width="38" hidden="0" customWidth="1"/>
    <x:col min="6" max="6" width="65" hidden="0" customWidth="1"/>
    <x:col min="7" max="7" width="70" hidden="0" customWidth="1"/>
    <x:col min="8" max="8" width="16" hidden="0" customWidth="1"/>
    <x:col min="9" max="9" width="50" hidden="0" customWidth="1"/>
    <x:col min="10" max="10" width="40" hidden="0" customWidth="1"/>
    <x:col min="11" max="11" width="22" hidden="0" customWidth="1"/>
    <x:col min="12" max="12" width="16" hidden="0" customWidth="1"/>
    <x:col min="13" max="13" width="5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PAWS Testing - Manual Acceptance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 t="str">
        <x:v>Test site</x:v>
      </x:c>
      <x:c r="B3" s="1" t="str">
        <x:v>https://ucvm-teaching-assignment.github.io/Teaching-assignment/</x:v>
      </x:c>
      <x:c r="C3" s="1"/>
      <x:c r="D3" s="1"/>
      <x:c r="E3" s="1"/>
      <x:c r="F3" s="1"/>
      <x:c r="G3" s="1" t="str">
        <x:v>Mode</x:v>
      </x:c>
      <x:c r="H3" s="11" t="str">
        <x:v>Frontend Demo</x:v>
      </x:c>
      <x:c r="I3" s="11"/>
      <x:c r="J3" s="1" t="str">
        <x:v>Run owner</x:v>
      </x:c>
      <x:c r="K3" s="11"/>
      <x:c r="L3" s="11"/>
      <x:c r="M3" s="11"/>
    </x:row>
    <x:row r="4">
      <x:c r="A4" s="1" t="str">
        <x:v>Tested SHA</x:v>
      </x:c>
      <x:c r="B4" s="11"/>
      <x:c r="C4" s="11"/>
      <x:c r="D4" s="11"/>
      <x:c r="E4" s="11"/>
      <x:c r="F4" s="11"/>
      <x:c r="G4" s="1" t="str">
        <x:v>Academic year</x:v>
      </x:c>
      <x:c r="H4" s="11"/>
      <x:c r="I4" s="11"/>
      <x:c r="J4" s="1" t="str">
        <x:v>Dataset version</x:v>
      </x:c>
      <x:c r="K4" s="11"/>
      <x:c r="L4" s="11"/>
      <x:c r="M4" s="11"/>
    </x:row>
    <x:row r="5">
      <x:c r="A5" s="3" t="str">
        <x:v>D: browser-local Demo only. L: real Firebase Lab. B: trusted isolated backend required. Missing integrations = Blocked. No real staff data.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>
      <x:c r="A6" s="1" t="str">
        <x:v>Cases</x:v>
      </x:c>
      <x:c r="B6" s="1" t="n">
        <x:v>141</x:v>
      </x:c>
      <x:c r="C6" s="1" t="str">
        <x:v>Pass</x:v>
      </x:c>
      <x:c r="D6" s="1" t="n">
        <x:f>COUNTIFS(H9:H149,"Pass")</x:f>
        <x:v>0</x:v>
      </x:c>
      <x:c r="E6" s="1" t="str">
        <x:v>Fail</x:v>
      </x:c>
      <x:c r="F6" s="1" t="n">
        <x:f>COUNTIFS(H9:H149,"Fail")</x:f>
        <x:v>0</x:v>
      </x:c>
      <x:c r="G6" s="1" t="str">
        <x:v>Blocked</x:v>
      </x:c>
      <x:c r="H6" s="1" t="n">
        <x:f>COUNTIFS(H9:H149,"Blocked")</x:f>
        <x:v>0</x:v>
      </x:c>
      <x:c r="I6" s="1" t="str">
        <x:v>Not run</x:v>
      </x:c>
      <x:c r="J6" s="1" t="n">
        <x:f>COUNTIFS(H9:H149,"Not run")</x:f>
        <x:v>141</x:v>
      </x:c>
      <x:c r="K6" s="1" t="str">
        <x:v>N/A</x:v>
      </x:c>
      <x:c r="L6" s="1" t="n">
        <x:f>COUNTIFS(H9:H149,"N/A")</x:f>
        <x:v>0</x:v>
      </x:c>
      <x:c r="M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 ht="30" customHeight="1">
      <x:c r="A8" s="7" t="str">
        <x:v>Test ID</x:v>
      </x:c>
      <x:c r="B8" s="7" t="str">
        <x:v>Feature</x:v>
      </x:c>
      <x:c r="C8" s="7" t="str">
        <x:v>Role / persona</x:v>
      </x:c>
      <x:c r="D8" s="7" t="str">
        <x:v>Lane</x:v>
      </x:c>
      <x:c r="E8" s="7" t="str">
        <x:v>Preconditions</x:v>
      </x:c>
      <x:c r="F8" s="7" t="str">
        <x:v>Steps</x:v>
      </x:c>
      <x:c r="G8" s="7" t="str">
        <x:v>Expected result</x:v>
      </x:c>
      <x:c r="H8" s="7" t="str">
        <x:v>Status</x:v>
      </x:c>
      <x:c r="I8" s="7" t="str">
        <x:v>Actual result</x:v>
      </x:c>
      <x:c r="J8" s="7" t="str">
        <x:v>Evidence / defect</x:v>
      </x:c>
      <x:c r="K8" s="7" t="str">
        <x:v>Tester</x:v>
      </x:c>
      <x:c r="L8" s="7" t="str">
        <x:v>Test date</x:v>
      </x:c>
      <x:c r="M8" s="7" t="str">
        <x:v>Source / gap</x:v>
      </x:c>
    </x:row>
    <x:row r="9" ht="60" customHeight="1">
      <x:c r="A9" s="9" t="str">
        <x:v>ENV-01</x:v>
      </x:c>
      <x:c r="B9" s="9" t="str">
        <x:v>Environment and isolation</x:v>
      </x:c>
      <x:c r="C9" s="9" t="str">
        <x:v>All</x:v>
      </x:c>
      <x:c r="D9" s="9" t="str">
        <x:v>D/L</x:v>
      </x:c>
      <x:c r="E9" s="9" t="str">
        <x:v>Synthetic fixtures; selected mode and SHA recorded; required role available.</x:v>
      </x:c>
      <x:c r="F9" s="9" t="str">
        <x:v>Open the Testing site and record its banner, mode, PR and complete source SHA.</x:v>
      </x:c>
      <x:c r="G9" s="9" t="str">
        <x:v>The run identifies this repository and the exact artifact; a changed shared-site SHA invalidates comparisons.</x:v>
      </x:c>
      <x:c r="H9" s="9" t="str">
        <x:v>Not run</x:v>
      </x:c>
      <x:c r="I9" s="12" t="str"/>
      <x:c r="J9" s="12" t="str"/>
      <x:c r="K9" s="12" t="str"/>
      <x:c r="L9" s="13"/>
      <x:c r="M9" s="9" t="str">
        <x:v>Current Pages workflow publishes a shared URL.</x:v>
      </x:c>
    </x:row>
    <x:row r="10" ht="60" customHeight="1">
      <x:c r="A10" s="9" t="str">
        <x:v>ENV-02</x:v>
      </x:c>
      <x:c r="B10" s="9" t="str">
        <x:v>Environment and isolation</x:v>
      </x:c>
      <x:c r="C10" s="9" t="str">
        <x:v>All</x:v>
      </x:c>
      <x:c r="D10" s="9" t="str">
        <x:v>D</x:v>
      </x:c>
      <x:c r="E10" s="9" t="str">
        <x:v>Synthetic fixtures; selected mode and SHA recorded; required role available.</x:v>
      </x:c>
      <x:c r="F10" s="9" t="str">
        <x:v>Open DevTools Network and navigate every top-level page in Frontend Demo.</x:v>
      </x:c>
      <x:c r="G10" s="9" t="str">
        <x:v>API calls are intercepted locally; no University API, production database or real Firebase business request is sent.</x:v>
      </x:c>
      <x:c r="H10" s="9" t="str">
        <x:v>Not run</x:v>
      </x:c>
      <x:c r="I10" s="12" t="str"/>
      <x:c r="J10" s="12" t="str"/>
      <x:c r="K10" s="12" t="str"/>
      <x:c r="L10" s="13"/>
      <x:c r="M10" s="9" t="str">
        <x:v>tools/pages-demo-api/browser.js</x:v>
      </x:c>
    </x:row>
    <x:row r="11" ht="60" customHeight="1">
      <x:c r="A11" s="9" t="str">
        <x:v>ENV-03</x:v>
      </x:c>
      <x:c r="B11" s="9" t="str">
        <x:v>Environment and isolation</x:v>
      </x:c>
      <x:c r="C11" s="9" t="str">
        <x:v>All</x:v>
      </x:c>
      <x:c r="D11" s="9" t="str">
        <x:v>D</x:v>
      </x:c>
      <x:c r="E11" s="9" t="str">
        <x:v>Synthetic fixtures; selected mode and SHA recorded; required role available.</x:v>
      </x:c>
      <x:c r="F11" s="9" t="str">
        <x:v>Create a synthetic edit, reload, then use a second browser profile.</x:v>
      </x:c>
      <x:c r="G11" s="9" t="str">
        <x:v>Demo persistence follows its documented local storage scope; it is not mistaken for a shared backend commit.</x:v>
      </x:c>
      <x:c r="H11" s="9" t="str">
        <x:v>Not run</x:v>
      </x:c>
      <x:c r="I11" s="12" t="str"/>
      <x:c r="J11" s="12" t="str"/>
      <x:c r="K11" s="12" t="str"/>
      <x:c r="L11" s="13"/>
      <x:c r="M11" s="9" t="str">
        <x:v>Browser-local store; cross-user persistence requires backend.</x:v>
      </x:c>
    </x:row>
    <x:row r="12" ht="60" customHeight="1">
      <x:c r="A12" s="9" t="str">
        <x:v>ENV-04</x:v>
      </x:c>
      <x:c r="B12" s="9" t="str">
        <x:v>Environment and isolation</x:v>
      </x:c>
      <x:c r="C12" s="9" t="str">
        <x:v>Operator</x:v>
      </x:c>
      <x:c r="D12" s="9" t="str">
        <x:v>L</x:v>
      </x:c>
      <x:c r="E12" s="9" t="str">
        <x:v>Synthetic fixtures; selected mode and SHA recorded; required role available.</x:v>
      </x:c>
      <x:c r="F12" s="9" t="str">
        <x:v>Inspect a manually selected Lab artifact and sign in with a synthetic Lab account.</x:v>
      </x:c>
      <x:c r="G12" s="9" t="str">
        <x:v>Banner says Firebase Lab, project is vista-teaching-lab, real DOE API origin stays blank and DOE browser writer is off.</x:v>
      </x:c>
      <x:c r="H12" s="9" t="str">
        <x:v>Not run</x:v>
      </x:c>
      <x:c r="I12" s="12" t="str"/>
      <x:c r="J12" s="12" t="str"/>
      <x:c r="K12" s="12" t="str"/>
      <x:c r="L12" s="13"/>
      <x:c r="M12" s="9" t="str">
        <x:v>Manual Firebase Lab workflow only.</x:v>
      </x:c>
    </x:row>
    <x:row r="13" ht="60" customHeight="1">
      <x:c r="A13" s="9" t="str">
        <x:v>ENV-05</x:v>
      </x:c>
      <x:c r="B13" s="9" t="str">
        <x:v>Environment and isolation</x:v>
      </x:c>
      <x:c r="C13" s="9" t="str">
        <x:v>Operator</x:v>
      </x:c>
      <x:c r="D13" s="9" t="str">
        <x:v>B</x:v>
      </x:c>
      <x:c r="E13" s="9" t="str">
        <x:v>Synthetic fixtures; selected mode and SHA recorded; required role available.</x:v>
      </x:c>
      <x:c r="F13" s="9" t="str">
        <x:v>Attempt Testing reset/seed against a wrong project, database or production target in an isolated test.</x:v>
      </x:c>
      <x:c r="G13" s="9" t="str">
        <x:v>The guard refuses before any mutation; never run this against real production.</x:v>
      </x:c>
      <x:c r="H13" s="9" t="str">
        <x:v>Not run</x:v>
      </x:c>
      <x:c r="I13" s="12" t="str"/>
      <x:c r="J13" s="12" t="str"/>
      <x:c r="K13" s="12" t="str"/>
      <x:c r="L13" s="13"/>
      <x:c r="M13" s="9" t="str">
        <x:v>Requires disposable backend; Demo is insufficient.</x:v>
      </x:c>
    </x:row>
    <x:row r="14" ht="60" customHeight="1">
      <x:c r="A14" s="9" t="str">
        <x:v>AUTH-01</x:v>
      </x:c>
      <x:c r="B14" s="9" t="str">
        <x:v>Authentication and session</x:v>
      </x:c>
      <x:c r="C14" s="9" t="str">
        <x:v>All</x:v>
      </x:c>
      <x:c r="D14" s="9" t="str">
        <x:v>D/L</x:v>
      </x:c>
      <x:c r="E14" s="9" t="str">
        <x:v>Synthetic fixtures; selected mode and SHA recorded; required role available.</x:v>
      </x:c>
      <x:c r="F14" s="9" t="str">
        <x:v>Sign out, refresh and open Calendar and protected direct URLs.</x:v>
      </x:c>
      <x:c r="G14" s="9" t="str">
        <x:v>Anonymous users see a sign-in gate; protected data is not rendered or retained.</x:v>
      </x:c>
      <x:c r="H14" s="9" t="str">
        <x:v>Not run</x:v>
      </x:c>
      <x:c r="I14" s="12" t="str"/>
      <x:c r="J14" s="12" t="str"/>
      <x:c r="K14" s="12" t="str"/>
      <x:c r="L14" s="13"/>
      <x:c r="M14" s="9" t="str">
        <x:v>Use real Lab Auth for security evidence.</x:v>
      </x:c>
    </x:row>
    <x:row r="15" ht="60" customHeight="1">
      <x:c r="A15" s="9" t="str">
        <x:v>AUTH-02</x:v>
      </x:c>
      <x:c r="B15" s="9" t="str">
        <x:v>Authentication and session</x:v>
      </x:c>
      <x:c r="C15" s="9" t="str">
        <x:v>Each role</x:v>
      </x:c>
      <x:c r="D15" s="9" t="str">
        <x:v>D/L</x:v>
      </x:c>
      <x:c r="E15" s="9" t="str">
        <x:v>Synthetic fixtures; selected mode and SHA recorded; required role available.</x:v>
      </x:c>
      <x:c r="F15" s="9" t="str">
        <x:v>Complete normal sign-in from the entry page, refresh and sign in again.</x:v>
      </x:c>
      <x:c r="G15" s="9" t="str">
        <x:v>Calendar is home, with no automatic Dashboard redirect; authorized deliberate direct navigation remains usable.</x:v>
      </x:c>
      <x:c r="H15" s="9" t="str">
        <x:v>Not run</x:v>
      </x:c>
      <x:c r="I15" s="12" t="str"/>
      <x:c r="J15" s="12" t="str"/>
      <x:c r="K15" s="12" t="str"/>
      <x:c r="L15" s="13"/>
      <x:c r="M15" s="9" t="str">
        <x:v>Known legacy web administrator redirect may fail.</x:v>
      </x:c>
    </x:row>
    <x:row r="16" ht="60" customHeight="1">
      <x:c r="A16" s="9" t="str">
        <x:v>AUTH-03</x:v>
      </x:c>
      <x:c r="B16" s="9" t="str">
        <x:v>Authentication and session</x:v>
      </x:c>
      <x:c r="C16" s="9" t="str">
        <x:v>Faculty</x:v>
      </x:c>
      <x:c r="D16" s="9" t="str">
        <x:v>L</x:v>
      </x:c>
      <x:c r="E16" s="9" t="str">
        <x:v>Synthetic fixtures; selected mode and SHA recorded; required role available.</x:v>
      </x:c>
      <x:c r="F16" s="9" t="str">
        <x:v>Use an invalid password and then a valid synthetic account.</x:v>
      </x:c>
      <x:c r="G16" s="9" t="str">
        <x:v>Error is clear; no private data is loaded after failure; valid real authentication succeeds only in Lab/backend.</x:v>
      </x:c>
      <x:c r="H16" s="9" t="str">
        <x:v>Not run</x:v>
      </x:c>
      <x:c r="I16" s="12" t="str"/>
      <x:c r="J16" s="12" t="str"/>
      <x:c r="K16" s="12" t="str"/>
      <x:c r="L16" s="13"/>
      <x:c r="M16" s="9" t="str">
        <x:v>Demo passwords/sign-in are simulated.</x:v>
      </x:c>
    </x:row>
    <x:row r="17" ht="60" customHeight="1">
      <x:c r="A17" s="9" t="str">
        <x:v>AUTH-04</x:v>
      </x:c>
      <x:c r="B17" s="9" t="str">
        <x:v>Authentication and session</x:v>
      </x:c>
      <x:c r="C17" s="9" t="str">
        <x:v>Inactive / unknown</x:v>
      </x:c>
      <x:c r="D17" s="9" t="str">
        <x:v>D/L/B</x:v>
      </x:c>
      <x:c r="E17" s="9" t="str">
        <x:v>Synthetic fixtures; selected mode and SHA recorded; required role available.</x:v>
      </x:c>
      <x:c r="F17" s="9" t="str">
        <x:v>Use an inactive, unsupported-role, missing-profile and unlinked Faculty fixture separately.</x:v>
      </x:c>
      <x:c r="G17" s="9" t="str">
        <x:v>Access fails closed with an actionable message; no fallback to Developer or another teacher.</x:v>
      </x:c>
      <x:c r="H17" s="9" t="str">
        <x:v>Not run</x:v>
      </x:c>
      <x:c r="I17" s="12" t="str"/>
      <x:c r="J17" s="12" t="str"/>
      <x:c r="K17" s="12" t="str"/>
      <x:c r="L17" s="13"/>
      <x:c r="M17" s="9" t="str">
        <x:v>Distinct fixtures required; real authority in L/B.</x:v>
      </x:c>
    </x:row>
    <x:row r="18" ht="60" customHeight="1">
      <x:c r="A18" s="9" t="str">
        <x:v>AUTH-05</x:v>
      </x:c>
      <x:c r="B18" s="9" t="str">
        <x:v>Authentication and session</x:v>
      </x:c>
      <x:c r="C18" s="9" t="str">
        <x:v>New account</x:v>
      </x:c>
      <x:c r="D18" s="9" t="str">
        <x:v>L</x:v>
      </x:c>
      <x:c r="E18" s="9" t="str">
        <x:v>Synthetic fixtures; selected mode and SHA recorded; required role available.</x:v>
      </x:c>
      <x:c r="F18" s="9" t="str">
        <x:v>Use a must-change-password fixture and open a protected page before completion.</x:v>
      </x:c>
      <x:c r="G18" s="9" t="str">
        <x:v>Mandatory change gate remains; successful change requires the proper identity and clears only allowed fields.</x:v>
      </x:c>
      <x:c r="H18" s="9" t="str">
        <x:v>Not run</x:v>
      </x:c>
      <x:c r="I18" s="12" t="str"/>
      <x:c r="J18" s="12" t="str"/>
      <x:c r="K18" s="12" t="str"/>
      <x:c r="L18" s="13"/>
      <x:c r="M18" s="9" t="str">
        <x:v>Do not use real staff credentials or send reset mail from Demo.</x:v>
      </x:c>
    </x:row>
    <x:row r="19" ht="60" customHeight="1">
      <x:c r="A19" s="9" t="str">
        <x:v>AUTH-06</x:v>
      </x:c>
      <x:c r="B19" s="9" t="str">
        <x:v>Authentication and session</x:v>
      </x:c>
      <x:c r="C19" s="9" t="str">
        <x:v>Faculty</x:v>
      </x:c>
      <x:c r="D19" s="9" t="str">
        <x:v>D/L</x:v>
      </x:c>
      <x:c r="E19" s="9" t="str">
        <x:v>Synthetic fixtures; selected mode and SHA recorded; required role available.</x:v>
      </x:c>
      <x:c r="F19" s="9" t="str">
        <x:v>Exercise password-change validation, cancel and the authorized recovery entry.</x:v>
      </x:c>
      <x:c r="G19" s="9" t="str">
        <x:v>Validation is correct, cancellation changes nothing, and real delivery/change is separately evidenced.</x:v>
      </x:c>
      <x:c r="H19" s="9" t="str">
        <x:v>Not run</x:v>
      </x:c>
      <x:c r="I19" s="12" t="str"/>
      <x:c r="J19" s="12" t="str"/>
      <x:c r="K19" s="12" t="str"/>
      <x:c r="L19" s="13"/>
      <x:c r="M19" s="9" t="str">
        <x:v>Real email/credential change is Lab operator acceptance.</x:v>
      </x:c>
    </x:row>
    <x:row r="20" ht="60" customHeight="1">
      <x:c r="A20" s="9" t="str">
        <x:v>AUTH-07</x:v>
      </x:c>
      <x:c r="B20" s="9" t="str">
        <x:v>Authentication and session</x:v>
      </x:c>
      <x:c r="C20" s="9" t="str">
        <x:v>All</x:v>
      </x:c>
      <x:c r="D20" s="9" t="str">
        <x:v>D/L/B</x:v>
      </x:c>
      <x:c r="E20" s="9" t="str">
        <x:v>Synthetic fixtures; selected mode and SHA recorded; required role available.</x:v>
      </x:c>
      <x:c r="F20" s="9" t="str">
        <x:v>Sign out after opening Dashboard, SWAP and History, then use Back and a second account.</x:v>
      </x:c>
      <x:c r="G20" s="9" t="str">
        <x:v>Prior private views clear; no previous user's payload or downloadable file is exposed.</x:v>
      </x:c>
      <x:c r="H20" s="9" t="str">
        <x:v>Not run</x:v>
      </x:c>
      <x:c r="I20" s="12" t="str"/>
      <x:c r="J20" s="12" t="str"/>
      <x:c r="K20" s="12" t="str"/>
      <x:c r="L20" s="13"/>
      <x:c r="M20" s="9" t="str">
        <x:v>Inspect visible state and responses.</x:v>
      </x:c>
    </x:row>
    <x:row r="21" ht="60" customHeight="1">
      <x:c r="A21" s="9" t="str">
        <x:v>AUTH-08</x:v>
      </x:c>
      <x:c r="B21" s="9" t="str">
        <x:v>Authentication and session</x:v>
      </x:c>
      <x:c r="C21" s="9" t="str">
        <x:v>Administrator / Faculty</x:v>
      </x:c>
      <x:c r="D21" s="9" t="str">
        <x:v>B</x:v>
      </x:c>
      <x:c r="E21" s="9" t="str">
        <x:v>Synthetic fixtures; selected mode and SHA recorded; required role available.</x:v>
      </x:c>
      <x:c r="F21" s="9" t="str">
        <x:v>Change or expire an authorization fixture while another tab is open, then perform a protected action.</x:v>
      </x:c>
      <x:c r="G21" s="9" t="str">
        <x:v>Current authority is rechecked and stale privileged views/actions fail closed.</x:v>
      </x:c>
      <x:c r="H21" s="9" t="str">
        <x:v>Not run</x:v>
      </x:c>
      <x:c r="I21" s="12" t="str"/>
      <x:c r="J21" s="12" t="str"/>
      <x:c r="K21" s="12" t="str"/>
      <x:c r="L21" s="13"/>
      <x:c r="M21" s="9" t="str">
        <x:v>PR148 effective-access subsystem absent in current port.</x:v>
      </x:c>
    </x:row>
    <x:row r="22" ht="60" customHeight="1">
      <x:c r="A22" s="9" t="str">
        <x:v>NAV-01</x:v>
      </x:c>
      <x:c r="B22" s="9" t="str">
        <x:v>Navigation and layout</x:v>
      </x:c>
      <x:c r="C22" s="9" t="str">
        <x:v>Each role</x:v>
      </x:c>
      <x:c r="D22" s="9" t="str">
        <x:v>D/L</x:v>
      </x:c>
      <x:c r="E22" s="9" t="str">
        <x:v>Synthetic fixtures; selected mode and SHA recorded; required role available.</x:v>
      </x:c>
      <x:c r="F22" s="9" t="str">
        <x:v>Visit all visible navigation destinations and use Back, reload and authorized direct links.</x:v>
      </x:c>
      <x:c r="G22" s="9" t="str">
        <x:v>Labels and active state are consistent, links resolve, and no inaccessible destination exposes data.</x:v>
      </x:c>
      <x:c r="H22" s="9" t="str">
        <x:v>Not run</x:v>
      </x:c>
      <x:c r="I22" s="12" t="str"/>
      <x:c r="J22" s="12" t="str"/>
      <x:c r="K22" s="12" t="str"/>
      <x:c r="L22" s="13"/>
      <x:c r="M22" s="9" t="str">
        <x:v>PAWS and legacy page sets differ.</x:v>
      </x:c>
    </x:row>
    <x:row r="23" ht="60" customHeight="1">
      <x:c r="A23" s="9" t="str">
        <x:v>NAV-02</x:v>
      </x:c>
      <x:c r="B23" s="9" t="str">
        <x:v>Navigation and layout</x:v>
      </x:c>
      <x:c r="C23" s="9" t="str">
        <x:v>All</x:v>
      </x:c>
      <x:c r="D23" s="9" t="str">
        <x:v>D/L</x:v>
      </x:c>
      <x:c r="E23" s="9" t="str">
        <x:v>Synthetic fixtures; selected mode and SHA recorded; required role available.</x:v>
      </x:c>
      <x:c r="F23" s="9" t="str">
        <x:v>Use keyboard-only navigation through menus, dialogs, filters and tables.</x:v>
      </x:c>
      <x:c r="G23" s="9" t="str">
        <x:v>Focus is visible and logical; Escape/cancel and focus return work; no keyboard trap.</x:v>
      </x:c>
      <x:c r="H23" s="9" t="str">
        <x:v>Not run</x:v>
      </x:c>
      <x:c r="I23" s="12" t="str"/>
      <x:c r="J23" s="12" t="str"/>
      <x:c r="K23" s="12" t="str"/>
      <x:c r="L23" s="13"/>
      <x:c r="M23" s="9" t="str">
        <x:v>Record browser and viewport.</x:v>
      </x:c>
    </x:row>
    <x:row r="24" ht="60" customHeight="1">
      <x:c r="A24" s="9" t="str">
        <x:v>NAV-03</x:v>
      </x:c>
      <x:c r="B24" s="9" t="str">
        <x:v>Navigation and layout</x:v>
      </x:c>
      <x:c r="C24" s="9" t="str">
        <x:v>All</x:v>
      </x:c>
      <x:c r="D24" s="9" t="str">
        <x:v>D/L</x:v>
      </x:c>
      <x:c r="E24" s="9" t="str">
        <x:v>Synthetic fixtures; selected mode and SHA recorded; required role available.</x:v>
      </x:c>
      <x:c r="F24" s="9" t="str">
        <x:v>Compare desktop and narrow windows, dark mode and native browser zoom at 200%.</x:v>
      </x:c>
      <x:c r="G24" s="9" t="str">
        <x:v>Controls remain readable and operable; key actions and selected filters are not clipped.</x:v>
      </x:c>
      <x:c r="H24" s="9" t="str">
        <x:v>Not run</x:v>
      </x:c>
      <x:c r="I24" s="12" t="str"/>
      <x:c r="J24" s="12" t="str"/>
      <x:c r="K24" s="12" t="str"/>
      <x:c r="L24" s="13"/>
      <x:c r="M24" s="9" t="str">
        <x:v>Use native zoom, not CSS approximation.</x:v>
      </x:c>
    </x:row>
    <x:row r="25" ht="60" customHeight="1">
      <x:c r="A25" s="9" t="str">
        <x:v>NAV-04</x:v>
      </x:c>
      <x:c r="B25" s="9" t="str">
        <x:v>Navigation and layout</x:v>
      </x:c>
      <x:c r="C25" s="9" t="str">
        <x:v>All</x:v>
      </x:c>
      <x:c r="D25" s="9" t="str">
        <x:v>D/L</x:v>
      </x:c>
      <x:c r="E25" s="9" t="str">
        <x:v>Synthetic fixtures; selected mode and SHA recorded; required role available.</x:v>
      </x:c>
      <x:c r="F25" s="9" t="str">
        <x:v>Load slow, empty, long-text, large-result and error fixtures.</x:v>
      </x:c>
      <x:c r="G25" s="9" t="str">
        <x:v>Loading, counts, empty and retry states are truthful; stale data is not presented as current.</x:v>
      </x:c>
      <x:c r="H25" s="9" t="str">
        <x:v>Not run</x:v>
      </x:c>
      <x:c r="I25" s="12" t="str"/>
      <x:c r="J25" s="12" t="str"/>
      <x:c r="K25" s="12" t="str"/>
      <x:c r="L25" s="13"/>
      <x:c r="M25" s="9" t="str">
        <x:v>Record missing fixture as Blocked.</x:v>
      </x:c>
    </x:row>
    <x:row r="26" ht="60" customHeight="1">
      <x:c r="A26" s="9" t="str">
        <x:v>NAME-01</x:v>
      </x:c>
      <x:c r="B26" s="9" t="str">
        <x:v>Names and display formats</x:v>
      </x:c>
      <x:c r="C26" s="9" t="str">
        <x:v>All</x:v>
      </x:c>
      <x:c r="D26" s="9" t="str">
        <x:v>D/L</x:v>
      </x:c>
      <x:c r="E26" s="9" t="str">
        <x:v>Synthetic fixtures; selected mode and SHA recorded; required role available.</x:v>
      </x:c>
      <x:c r="F26" s="9" t="str">
        <x:v>Inspect names in Calendar, Lookup, roles, pickers, account labels, approvals and History.</x:v>
      </x:c>
      <x:c r="G26" s="9" t="str">
        <x:v>New display labels use Last name, First name through the shared formatter.</x:v>
      </x:c>
      <x:c r="H26" s="9" t="str">
        <x:v>Not run</x:v>
      </x:c>
      <x:c r="I26" s="12" t="str"/>
      <x:c r="J26" s="12" t="str"/>
      <x:c r="K26" s="12" t="str"/>
      <x:c r="L26" s="13"/>
      <x:c r="M26" s="9" t="str">
        <x:v>Legacy raw-name gaps must be recorded.</x:v>
      </x:c>
    </x:row>
    <x:row r="27" ht="60" customHeight="1">
      <x:c r="A27" s="9" t="str">
        <x:v>NAME-02</x:v>
      </x:c>
      <x:c r="B27" s="9" t="str">
        <x:v>Names and display formats</x:v>
      </x:c>
      <x:c r="C27" s="9" t="str">
        <x:v>All</x:v>
      </x:c>
      <x:c r="D27" s="9" t="str">
        <x:v>D/L</x:v>
      </x:c>
      <x:c r="E27" s="9" t="str">
        <x:v>Synthetic fixtures; selected mode and SHA recorded; required role available.</x:v>
      </x:c>
      <x:c r="F27" s="9" t="str">
        <x:v>Use a compound surname, accents, apostrophe, initials and an already comma-formatted name.</x:v>
      </x:c>
      <x:c r="G27" s="9" t="str">
        <x:v>Names remain intact after repeated formatting; one person's comma is not a list separator.</x:v>
      </x:c>
      <x:c r="H27" s="9" t="str">
        <x:v>Not run</x:v>
      </x:c>
      <x:c r="I27" s="12" t="str"/>
      <x:c r="J27" s="12" t="str"/>
      <x:c r="K27" s="12" t="str"/>
      <x:c r="L27" s="13"/>
      <x:c r="M27" s="9" t="str">
        <x:v>Use synthetic names only.</x:v>
      </x:c>
    </x:row>
    <x:row r="28" ht="60" customHeight="1">
      <x:c r="A28" s="9" t="str">
        <x:v>NAME-03</x:v>
      </x:c>
      <x:c r="B28" s="9" t="str">
        <x:v>Names and display formats</x:v>
      </x:c>
      <x:c r="C28" s="9" t="str">
        <x:v>All</x:v>
      </x:c>
      <x:c r="D28" s="9" t="str">
        <x:v>D/L</x:v>
      </x:c>
      <x:c r="E28" s="9" t="str">
        <x:v>Synthetic fixtures; selected mode and SHA recorded; required role available.</x:v>
      </x:c>
      <x:c r="F28" s="9" t="str">
        <x:v>Inspect Locum, TBD, Unassigned, N/A, missing names and multiple-person labels.</x:v>
      </x:c>
      <x:c r="G28" s="9" t="str">
        <x:v>Placeholders stay truthful; lists use semicolons/newlines; identities are not invented.</x:v>
      </x:c>
      <x:c r="H28" s="9" t="str">
        <x:v>Not run</x:v>
      </x:c>
      <x:c r="I28" s="12" t="str"/>
      <x:c r="J28" s="12" t="str"/>
      <x:c r="K28" s="12" t="str"/>
      <x:c r="L28" s="13"/>
      <x:c r="M28" s="9" t="str">
        <x:v>Compare immutable IDs before/after.</x:v>
      </x:c>
    </x:row>
    <x:row r="29" ht="60" customHeight="1">
      <x:c r="A29" s="9" t="str">
        <x:v>NAME-04</x:v>
      </x:c>
      <x:c r="B29" s="9" t="str">
        <x:v>Names and display formats</x:v>
      </x:c>
      <x:c r="C29" s="9" t="str">
        <x:v>Administrator</x:v>
      </x:c>
      <x:c r="D29" s="9" t="str">
        <x:v>D/L/B</x:v>
      </x:c>
      <x:c r="E29" s="9" t="str">
        <x:v>Synthetic fixtures; selected mode and SHA recorded; required role available.</x:v>
      </x:c>
      <x:c r="F29" s="9" t="str">
        <x:v>Export CSV/Excel/ICS/PDF with formatted names and spreadsheet-like text.</x:v>
      </x:c>
      <x:c r="G29" s="9" t="str">
        <x:v>Labels match the convention, escaping/formula-injection protections remain, and originals/raw audit values stay unchanged.</x:v>
      </x:c>
      <x:c r="H29" s="9" t="str">
        <x:v>Not run</x:v>
      </x:c>
      <x:c r="I29" s="12" t="str"/>
      <x:c r="J29" s="12" t="str"/>
      <x:c r="K29" s="12" t="str"/>
      <x:c r="L29" s="13"/>
      <x:c r="M29" s="9" t="str">
        <x:v>Historical uploaded PDFs are not reformatted.</x:v>
      </x:c>
    </x:row>
    <x:row r="30" ht="60" customHeight="1">
      <x:c r="A30" s="9" t="str">
        <x:v>CAL-01</x:v>
      </x:c>
      <x:c r="B30" s="9" t="str">
        <x:v>Calendar and filters</x:v>
      </x:c>
      <x:c r="C30" s="9" t="str">
        <x:v>All authorized</x:v>
      </x:c>
      <x:c r="D30" s="9" t="str">
        <x:v>D</x:v>
      </x:c>
      <x:c r="E30" s="9" t="str">
        <x:v>Synthetic fixtures; selected mode and SHA recorded; required role available.</x:v>
      </x:c>
      <x:c r="F30" s="9" t="str">
        <x:v>Open Calendar with a fresh filter state and use Reset.</x:v>
      </x:c>
      <x:c r="G30" s="9" t="str">
        <x:v>Teaching types are initially selected; work activities are excluded until explicitly selected.</x:v>
      </x:c>
      <x:c r="H30" s="9" t="str">
        <x:v>Not run</x:v>
      </x:c>
      <x:c r="I30" s="12" t="str"/>
      <x:c r="J30" s="12" t="str"/>
      <x:c r="K30" s="12" t="str"/>
      <x:c r="L30" s="13"/>
      <x:c r="M30" s="9" t="str">
        <x:v>Beta baseline; record current port mismatch as Fail.</x:v>
      </x:c>
    </x:row>
    <x:row r="31" ht="60" customHeight="1">
      <x:c r="A31" s="9" t="str">
        <x:v>CAL-02</x:v>
      </x:c>
      <x:c r="B31" s="9" t="str">
        <x:v>Calendar and filters</x:v>
      </x:c>
      <x:c r="C31" s="9" t="str">
        <x:v>All authorized</x:v>
      </x:c>
      <x:c r="D31" s="9" t="str">
        <x:v>D/L</x:v>
      </x:c>
      <x:c r="E31" s="9" t="str">
        <x:v>Synthetic fixtures; selected mode and SHA recorded; required role available.</x:v>
      </x:c>
      <x:c r="F31" s="9" t="str">
        <x:v>Switch Day, Week, Month and List; navigate previous/next and Today.</x:v>
      </x:c>
      <x:c r="G31" s="9" t="str">
        <x:v>Dates, events and real ranges agree across views; no duplicate/lost event.</x:v>
      </x:c>
      <x:c r="H31" s="9" t="str">
        <x:v>Not run</x:v>
      </x:c>
      <x:c r="I31" s="12" t="str"/>
      <x:c r="J31" s="12" t="str"/>
      <x:c r="K31" s="12" t="str"/>
      <x:c r="L31" s="13"/>
      <x:c r="M31" s="9" t="str">
        <x:v>Use an agreed synthetic timetable.</x:v>
      </x:c>
    </x:row>
    <x:row r="32" ht="60" customHeight="1">
      <x:c r="A32" s="9" t="str">
        <x:v>CAL-03</x:v>
      </x:c>
      <x:c r="B32" s="9" t="str">
        <x:v>Calendar and filters</x:v>
      </x:c>
      <x:c r="C32" s="9" t="str">
        <x:v>All authorized</x:v>
      </x:c>
      <x:c r="D32" s="9" t="str">
        <x:v>D/L</x:v>
      </x:c>
      <x:c r="E32" s="9" t="str">
        <x:v>Synthetic fixtures; selected mode and SHA recorded; required role available.</x:v>
      </x:c>
      <x:c r="F32" s="9" t="str">
        <x:v>Combine year, semester, week, month, course, keyword and activity filters.</x:v>
      </x:c>
      <x:c r="G32" s="9" t="str">
        <x:v>Results match all selected criteria; counts, active filters and clear/reset controls are accurate.</x:v>
      </x:c>
      <x:c r="H32" s="9" t="str">
        <x:v>Not run</x:v>
      </x:c>
      <x:c r="I32" s="12" t="str"/>
      <x:c r="J32" s="12" t="str"/>
      <x:c r="K32" s="12" t="str"/>
      <x:c r="L32" s="13"/>
      <x:c r="M32" s="9" t="str">
        <x:v>Check empty and high-volume results.</x:v>
      </x:c>
    </x:row>
    <x:row r="33" ht="60" customHeight="1">
      <x:c r="A33" s="9" t="str">
        <x:v>CAL-04</x:v>
      </x:c>
      <x:c r="B33" s="9" t="str">
        <x:v>Calendar and filters</x:v>
      </x:c>
      <x:c r="C33" s="9" t="str">
        <x:v>All authorized</x:v>
      </x:c>
      <x:c r="D33" s="9" t="str">
        <x:v>D</x:v>
      </x:c>
      <x:c r="E33" s="9" t="str">
        <x:v>Synthetic fixtures; selected mode and SHA recorded; required role available.</x:v>
      </x:c>
      <x:c r="F33" s="9" t="str">
        <x:v>Choose Rotation separately from Years 1-4, then combine and clear selections.</x:v>
      </x:c>
      <x:c r="G33" s="9" t="str">
        <x:v>Rotation alone shows only Rotation; Years 1-4 remain distinct; reset restores the intended default.</x:v>
      </x:c>
      <x:c r="H33" s="9" t="str">
        <x:v>Not run</x:v>
      </x:c>
      <x:c r="I33" s="12" t="str"/>
      <x:c r="J33" s="12" t="str"/>
      <x:c r="K33" s="12" t="str"/>
      <x:c r="L33" s="13"/>
      <x:c r="M33" s="9" t="str">
        <x:v>Rotation is a separate filter option.</x:v>
      </x:c>
    </x:row>
    <x:row r="34" ht="60" customHeight="1">
      <x:c r="A34" s="9" t="str">
        <x:v>CAL-05</x:v>
      </x:c>
      <x:c r="B34" s="9" t="str">
        <x:v>Calendar and filters</x:v>
      </x:c>
      <x:c r="C34" s="9" t="str">
        <x:v>All authorized</x:v>
      </x:c>
      <x:c r="D34" s="9" t="str">
        <x:v>D</x:v>
      </x:c>
      <x:c r="E34" s="9" t="str">
        <x:v>Synthetic fixtures; selected mode and SHA recorded; required role available.</x:v>
      </x:c>
      <x:c r="F34" s="9" t="str">
        <x:v>Select teaching and all supported work categories using grouped multi-select and select/clear-all.</x:v>
      </x:c>
      <x:c r="G34" s="9" t="str">
        <x:v>Every supported category is available; selections are explicit and counts stay correct.</x:v>
      </x:c>
      <x:c r="H34" s="9" t="str">
        <x:v>Not run</x:v>
      </x:c>
      <x:c r="I34" s="12" t="str"/>
      <x:c r="J34" s="12" t="str"/>
      <x:c r="K34" s="12" t="str"/>
      <x:c r="L34" s="13"/>
      <x:c r="M34" s="9" t="str">
        <x:v>Include clinical days and other rotations, not CCC alone.</x:v>
      </x:c>
    </x:row>
    <x:row r="35" ht="60" customHeight="1">
      <x:c r="A35" s="9" t="str">
        <x:v>CAL-06</x:v>
      </x:c>
      <x:c r="B35" s="9" t="str">
        <x:v>Calendar and filters</x:v>
      </x:c>
      <x:c r="C35" s="9" t="str">
        <x:v>Faculty</x:v>
      </x:c>
      <x:c r="D35" s="9" t="str">
        <x:v>D/L</x:v>
      </x:c>
      <x:c r="E35" s="9" t="str">
        <x:v>Synthetic fixtures; selected mode and SHA recorded; required role available.</x:v>
      </x:c>
      <x:c r="F35" s="9" t="str">
        <x:v>Toggle My Teaching and switch academic year.</x:v>
      </x:c>
      <x:c r="G35" s="9" t="str">
        <x:v>Only authorized personal sessions appear; prior-year or another user's selection/data does not leak.</x:v>
      </x:c>
      <x:c r="H35" s="9" t="str">
        <x:v>Not run</x:v>
      </x:c>
      <x:c r="I35" s="12" t="str"/>
      <x:c r="J35" s="12" t="str"/>
      <x:c r="K35" s="12" t="str"/>
      <x:c r="L35" s="13"/>
      <x:c r="M35" s="9" t="str">
        <x:v>Self identity must be linked.</x:v>
      </x:c>
    </x:row>
    <x:row r="36" ht="60" customHeight="1">
      <x:c r="A36" s="9" t="str">
        <x:v>CAL-07</x:v>
      </x:c>
      <x:c r="B36" s="9" t="str">
        <x:v>Calendar and filters</x:v>
      </x:c>
      <x:c r="C36" s="9" t="str">
        <x:v>All authorized</x:v>
      </x:c>
      <x:c r="D36" s="9" t="str">
        <x:v>D</x:v>
      </x:c>
      <x:c r="E36" s="9" t="str">
        <x:v>Synthetic fixtures; selected mode and SHA recorded; required role available.</x:v>
      </x:c>
      <x:c r="F36" s="9" t="str">
        <x:v>Inspect overlapping, multi-day, long-topic and missing-time activities.</x:v>
      </x:c>
      <x:c r="G36" s="9" t="str">
        <x:v>Layout is legible; date ranges preserved; approved08:30-16:30 work default is distinguishable from source time.</x:v>
      </x:c>
      <x:c r="H36" s="9" t="str">
        <x:v>Not run</x:v>
      </x:c>
      <x:c r="I36" s="12" t="str"/>
      <x:c r="J36" s="12" t="str"/>
      <x:c r="K36" s="12" t="str"/>
      <x:c r="L36" s="13"/>
      <x:c r="M36" s="9" t="str">
        <x:v>Unknown/conflict status must remain truthful.</x:v>
      </x:c>
    </x:row>
    <x:row r="37" ht="60" customHeight="1">
      <x:c r="A37" s="9" t="str">
        <x:v>CAL-08</x:v>
      </x:c>
      <x:c r="B37" s="9" t="str">
        <x:v>Calendar and filters</x:v>
      </x:c>
      <x:c r="C37" s="9" t="str">
        <x:v>All authorized</x:v>
      </x:c>
      <x:c r="D37" s="9" t="str">
        <x:v>D</x:v>
      </x:c>
      <x:c r="E37" s="9" t="str">
        <x:v>Synthetic fixtures; selected mode and SHA recorded; required role available.</x:v>
      </x:c>
      <x:c r="F37" s="9" t="str">
        <x:v>Open a LAB for a course/day containing several activities.</x:v>
      </x:c>
      <x:c r="G37" s="9" t="str">
        <x:v>Grouped station/instructor/room/time table uses real data; missing rotation/group data says Not provided.</x:v>
      </x:c>
      <x:c r="H37" s="9" t="str">
        <x:v>Not run</x:v>
      </x:c>
      <x:c r="I37" s="12" t="str"/>
      <x:c r="J37" s="12" t="str"/>
      <x:c r="K37" s="12" t="str"/>
      <x:c r="L37" s="13"/>
      <x:c r="M37" s="9" t="str">
        <x:v>Retain correct per-session actions and permissions.</x:v>
      </x:c>
    </x:row>
    <x:row r="38" ht="60" customHeight="1">
      <x:c r="A38" s="9" t="str">
        <x:v>CAL-09</x:v>
      </x:c>
      <x:c r="B38" s="9" t="str">
        <x:v>Calendar and filters</x:v>
      </x:c>
      <x:c r="C38" s="9" t="str">
        <x:v>All authorized</x:v>
      </x:c>
      <x:c r="D38" s="9" t="str">
        <x:v>D/L</x:v>
      </x:c>
      <x:c r="E38" s="9" t="str">
        <x:v>Synthetic fixtures; selected mode and SHA recorded; required role available.</x:v>
      </x:c>
      <x:c r="F38" s="9" t="str">
        <x:v>Export the filtered Calendar as CSV and ICS; compare a selected multi-course/session export preview.</x:v>
      </x:c>
      <x:c r="G38" s="9" t="str">
        <x:v>Only selected authorized records are exported, sorted by date/time, with expected fields and safe escaping.</x:v>
      </x:c>
      <x:c r="H38" s="9" t="str">
        <x:v>Not run</x:v>
      </x:c>
      <x:c r="I38" s="12" t="str"/>
      <x:c r="J38" s="12" t="str"/>
      <x:c r="K38" s="12" t="str"/>
      <x:c r="L38" s="13"/>
      <x:c r="M38" s="9" t="str">
        <x:v>Missing VISC/source values stay Not provided.</x:v>
      </x:c>
    </x:row>
    <x:row r="39" ht="60" customHeight="1">
      <x:c r="A39" s="9" t="str">
        <x:v>SES-01</x:v>
      </x:c>
      <x:c r="B39" s="9" t="str">
        <x:v>Session administration</x:v>
      </x:c>
      <x:c r="C39" s="9" t="str">
        <x:v>Administrator</x:v>
      </x:c>
      <x:c r="D39" s="9" t="str">
        <x:v>D/B</x:v>
      </x:c>
      <x:c r="E39" s="9" t="str">
        <x:v>Synthetic fixtures; selected mode and SHA recorded; required role available.</x:v>
      </x:c>
      <x:c r="F39" s="9" t="str">
        <x:v>Create one synthetic teaching session and a valid batch.</x:v>
      </x:c>
      <x:c r="G39" s="9" t="str">
        <x:v>Required fields validate; new sessions appear once with the correct year, course, times and audit actor.</x:v>
      </x:c>
      <x:c r="H39" s="9" t="str">
        <x:v>Not run</x:v>
      </x:c>
      <x:c r="I39" s="12" t="str"/>
      <x:c r="J39" s="12" t="str"/>
      <x:c r="K39" s="12" t="str"/>
      <x:c r="L39" s="13"/>
      <x:c r="M39" s="9" t="str">
        <x:v>Durable audit/atomic batch needs backend.</x:v>
      </x:c>
    </x:row>
    <x:row r="40" ht="60" customHeight="1">
      <x:c r="A40" s="9" t="str">
        <x:v>SES-02</x:v>
      </x:c>
      <x:c r="B40" s="9" t="str">
        <x:v>Session administration</x:v>
      </x:c>
      <x:c r="C40" s="9" t="str">
        <x:v>Administrator</x:v>
      </x:c>
      <x:c r="D40" s="9" t="str">
        <x:v>D/B</x:v>
      </x:c>
      <x:c r="E40" s="9" t="str">
        <x:v>Synthetic fixtures; selected mode and SHA recorded; required role available.</x:v>
      </x:c>
      <x:c r="F40" s="9" t="str">
        <x:v>Edit topic, date, time, room, type and instructors separately, then cancel an edit.</x:v>
      </x:c>
      <x:c r="G40" s="9" t="str">
        <x:v>Only intended fields change; cancellation changes nothing; DOE follows actual approved policy.</x:v>
      </x:c>
      <x:c r="H40" s="9" t="str">
        <x:v>Not run</x:v>
      </x:c>
      <x:c r="I40" s="12" t="str"/>
      <x:c r="J40" s="12" t="str"/>
      <x:c r="K40" s="12" t="str"/>
      <x:c r="L40" s="13"/>
      <x:c r="M40" s="9" t="str">
        <x:v>Feature gate and version checked separately in B.</x:v>
      </x:c>
    </x:row>
    <x:row r="41" ht="60" customHeight="1">
      <x:c r="A41" s="9" t="str">
        <x:v>SES-03</x:v>
      </x:c>
      <x:c r="B41" s="9" t="str">
        <x:v>Session administration</x:v>
      </x:c>
      <x:c r="C41" s="9" t="str">
        <x:v>Administrator</x:v>
      </x:c>
      <x:c r="D41" s="9" t="str">
        <x:v>D/B</x:v>
      </x:c>
      <x:c r="E41" s="9" t="str">
        <x:v>Synthetic fixtures; selected mode and SHA recorded; required role available.</x:v>
      </x:c>
      <x:c r="F41" s="9" t="str">
        <x:v>Submit an invalid range, missing fields, duplicate batch and stale version.</x:v>
      </x:c>
      <x:c r="G41" s="9" t="str">
        <x:v>Validation is clear and no partial/unintended change occurs.</x:v>
      </x:c>
      <x:c r="H41" s="9" t="str">
        <x:v>Not run</x:v>
      </x:c>
      <x:c r="I41" s="12" t="str"/>
      <x:c r="J41" s="12" t="str"/>
      <x:c r="K41" s="12" t="str"/>
      <x:c r="L41" s="13"/>
      <x:c r="M41" s="9" t="str">
        <x:v>SQL race/rollback proof cannot be Demo-only.</x:v>
      </x:c>
    </x:row>
    <x:row r="42" ht="60" customHeight="1">
      <x:c r="A42" s="9" t="str">
        <x:v>SES-04</x:v>
      </x:c>
      <x:c r="B42" s="9" t="str">
        <x:v>Session administration</x:v>
      </x:c>
      <x:c r="C42" s="9" t="str">
        <x:v>Faculty / ADC / LAB</x:v>
      </x:c>
      <x:c r="D42" s="9" t="str">
        <x:v>L/B</x:v>
      </x:c>
      <x:c r="E42" s="9" t="str">
        <x:v>Synthetic fixtures; selected mode and SHA recorded; required role available.</x:v>
      </x:c>
      <x:c r="F42" s="9" t="str">
        <x:v>Open an admin edit URL/action directly and inspect the request response.</x:v>
      </x:c>
      <x:c r="G42" s="9" t="str">
        <x:v>Unscoped direct administration is denied by the authority, not merely hidden in navigation.</x:v>
      </x:c>
      <x:c r="H42" s="9" t="str">
        <x:v>Not run</x:v>
      </x:c>
      <x:c r="I42" s="12" t="str"/>
      <x:c r="J42" s="12" t="str"/>
      <x:c r="K42" s="12" t="str"/>
      <x:c r="L42" s="13"/>
      <x:c r="M42" s="9" t="str">
        <x:v>UI simulation alone is not a security pass.</x:v>
      </x:c>
    </x:row>
    <x:row r="43" ht="60" customHeight="1">
      <x:c r="A43" s="9" t="str">
        <x:v>SES-05</x:v>
      </x:c>
      <x:c r="B43" s="9" t="str">
        <x:v>Session administration</x:v>
      </x:c>
      <x:c r="C43" s="9" t="str">
        <x:v>Administrator</x:v>
      </x:c>
      <x:c r="D43" s="9" t="str">
        <x:v>D/B</x:v>
      </x:c>
      <x:c r="E43" s="9" t="str">
        <x:v>Synthetic fixtures; selected mode and SHA recorded; required role available.</x:v>
      </x:c>
      <x:c r="F43" s="9" t="str">
        <x:v>Use a removal/cancellation action where offered and verify confirmation/recovery/history.</x:v>
      </x:c>
      <x:c r="G43" s="9" t="str">
        <x:v>Only the approved record is affected; unsupported permanent deletion stays unavailable.</x:v>
      </x:c>
      <x:c r="H43" s="9" t="str">
        <x:v>Not run</x:v>
      </x:c>
      <x:c r="I43" s="12" t="str"/>
      <x:c r="J43" s="12" t="str"/>
      <x:c r="K43" s="12" t="str"/>
      <x:c r="L43" s="13"/>
      <x:c r="M43" s="9" t="str">
        <x:v>Do not enable disabled production operations to test them.</x:v>
      </x:c>
    </x:row>
    <x:row r="44" ht="60" customHeight="1">
      <x:c r="A44" s="9" t="str">
        <x:v>LKP-01</x:v>
      </x:c>
      <x:c r="B44" s="9" t="str">
        <x:v>Faculty Lookup and archive</x:v>
      </x:c>
      <x:c r="C44" s="9" t="str">
        <x:v>Administrator</x:v>
      </x:c>
      <x:c r="D44" s="9" t="str">
        <x:v>D/L</x:v>
      </x:c>
      <x:c r="E44" s="9" t="str">
        <x:v>Synthetic fixtures; selected mode and SHA recorded; required role available.</x:v>
      </x:c>
      <x:c r="F44" s="9" t="str">
        <x:v>Search names, surname fragments, specialty, teaching area and identifiers using synthetic records.</x:v>
      </x:c>
      <x:c r="G44" s="9" t="str">
        <x:v>Keyword search returns accurate results and counts; clearing restores the set.</x:v>
      </x:c>
      <x:c r="H44" s="9" t="str">
        <x:v>Not run</x:v>
      </x:c>
      <x:c r="I44" s="12" t="str"/>
      <x:c r="J44" s="12" t="str"/>
      <x:c r="K44" s="12" t="str"/>
      <x:c r="L44" s="13"/>
      <x:c r="M44" s="9" t="str">
        <x:v>Confidential identifier search is admin-only.</x:v>
      </x:c>
    </x:row>
    <x:row r="45" ht="60" customHeight="1">
      <x:c r="A45" s="9" t="str">
        <x:v>LKP-02</x:v>
      </x:c>
      <x:c r="B45" s="9" t="str">
        <x:v>Faculty Lookup and archive</x:v>
      </x:c>
      <x:c r="C45" s="9" t="str">
        <x:v>Administrator</x:v>
      </x:c>
      <x:c r="D45" s="9" t="str">
        <x:v>D/B</x:v>
      </x:c>
      <x:c r="E45" s="9" t="str">
        <x:v>Synthetic fixtures; selected mode and SHA recorded; required role available.</x:v>
      </x:c>
      <x:c r="F45" s="9" t="str">
        <x:v>Inspect/edit allowed professional fields, rank, stream, FTE and reports-to on a versioned fixture.</x:v>
      </x:c>
      <x:c r="G45" s="9" t="str">
        <x:v>Only supported fields save, unknown values stay unknown, and audit/history captures the change.</x:v>
      </x:c>
      <x:c r="H45" s="9" t="str">
        <x:v>Not run</x:v>
      </x:c>
      <x:c r="I45" s="12" t="str"/>
      <x:c r="J45" s="12" t="str"/>
      <x:c r="K45" s="12" t="str"/>
      <x:c r="L45" s="13"/>
      <x:c r="M45" s="9" t="str">
        <x:v>No made-up source DOE or HR values.</x:v>
      </x:c>
    </x:row>
    <x:row r="46" ht="60" customHeight="1">
      <x:c r="A46" s="9" t="str">
        <x:v>LKP-03</x:v>
      </x:c>
      <x:c r="B46" s="9" t="str">
        <x:v>Faculty Lookup and archive</x:v>
      </x:c>
      <x:c r="C46" s="9" t="str">
        <x:v>Administrator</x:v>
      </x:c>
      <x:c r="D46" s="9" t="str">
        <x:v>D/B</x:v>
      </x:c>
      <x:c r="E46" s="9" t="str">
        <x:v>Synthetic fixtures; selected mode and SHA recorded; required role available.</x:v>
      </x:c>
      <x:c r="F46" s="9" t="str">
        <x:v>Archive a departed synthetic person and inspect active versus archived views.</x:v>
      </x:c>
      <x:c r="G46" s="9" t="str">
        <x:v>Person leaves active candidate lists; history and original records remain retrievable by authorized users.</x:v>
      </x:c>
      <x:c r="H46" s="9" t="str">
        <x:v>Not run</x:v>
      </x:c>
      <x:c r="I46" s="12" t="str"/>
      <x:c r="J46" s="12" t="str"/>
      <x:c r="K46" s="12" t="str"/>
      <x:c r="L46" s="13"/>
      <x:c r="M46" s="9" t="str">
        <x:v>Use no real departed person's account.</x:v>
      </x:c>
    </x:row>
    <x:row r="47" ht="60" customHeight="1">
      <x:c r="A47" s="9" t="str">
        <x:v>LKP-04</x:v>
      </x:c>
      <x:c r="B47" s="9" t="str">
        <x:v>Faculty Lookup and archive</x:v>
      </x:c>
      <x:c r="C47" s="9" t="str">
        <x:v>Faculty</x:v>
      </x:c>
      <x:c r="D47" s="9" t="str">
        <x:v>L/B</x:v>
      </x:c>
      <x:c r="E47" s="9" t="str">
        <x:v>Synthetic fixtures; selected mode and SHA recorded; required role available.</x:v>
      </x:c>
      <x:c r="F47" s="9" t="str">
        <x:v>Inspect own record and attempt another faculty detail route/export.</x:v>
      </x:c>
      <x:c r="G47" s="9" t="str">
        <x:v>Own scope works; other UCID/email/DOE/HR/AFC details are absent from delivered payloads.</x:v>
      </x:c>
      <x:c r="H47" s="9" t="str">
        <x:v>Not run</x:v>
      </x:c>
      <x:c r="I47" s="12" t="str"/>
      <x:c r="J47" s="12" t="str"/>
      <x:c r="K47" s="12" t="str"/>
      <x:c r="L47" s="13"/>
      <x:c r="M47" s="9" t="str">
        <x:v>Inspect responses, not only rendered columns.</x:v>
      </x:c>
    </x:row>
    <x:row r="48" ht="60" customHeight="1">
      <x:c r="A48" s="9" t="str">
        <x:v>LKP-05</x:v>
      </x:c>
      <x:c r="B48" s="9" t="str">
        <x:v>Faculty Lookup and archive</x:v>
      </x:c>
      <x:c r="C48" s="9" t="str">
        <x:v>Demo administrator</x:v>
      </x:c>
      <x:c r="D48" s="9" t="str">
        <x:v>D</x:v>
      </x:c>
      <x:c r="E48" s="9" t="str">
        <x:v>Synthetic fixtures; selected mode and SHA recorded; required role available.</x:v>
      </x:c>
      <x:c r="F48" s="9" t="str">
        <x:v>Use Testing-only Add Faculty with valid and invalid synthetic UCID/name input.</x:v>
      </x:c>
      <x:c r="G48" s="9" t="str">
        <x:v>Validation and duplicate checks work; changes stay browser-local and the action is clearly Testing-only.</x:v>
      </x:c>
      <x:c r="H48" s="9" t="str">
        <x:v>Not run</x:v>
      </x:c>
      <x:c r="I48" s="12" t="str"/>
      <x:c r="J48" s="12" t="str"/>
      <x:c r="K48" s="12" t="str"/>
      <x:c r="L48" s="13"/>
      <x:c r="M48" s="9" t="str">
        <x:v>No production create-Faculty API is implied.</x:v>
      </x:c>
    </x:row>
    <x:row r="49" ht="60" customHeight="1">
      <x:c r="A49" s="9" t="str">
        <x:v>AVL-01</x:v>
      </x:c>
      <x:c r="B49" s="9" t="str">
        <x:v>Availability</x:v>
      </x:c>
      <x:c r="C49" s="9" t="str">
        <x:v>Administrator / Faculty</x:v>
      </x:c>
      <x:c r="D49" s="9" t="str">
        <x:v>D/L/B</x:v>
      </x:c>
      <x:c r="E49" s="9" t="str">
        <x:v>Synthetic fixtures; selected mode and SHA recorded; required role available.</x:v>
      </x:c>
      <x:c r="F49" s="9" t="str">
        <x:v>Search availability for a real synthetic date/time with clear AFC and timetable.</x:v>
      </x:c>
      <x:c r="G49" s="9" t="str">
        <x:v>Available/Unavailable/Check needed matches the combined sources.</x:v>
      </x:c>
      <x:c r="H49" s="9" t="str">
        <x:v>Not run</x:v>
      </x:c>
      <x:c r="I49" s="12" t="str"/>
      <x:c r="J49" s="12" t="str"/>
      <x:c r="K49" s="12" t="str"/>
      <x:c r="L49" s="13"/>
      <x:c r="M49" s="9" t="str">
        <x:v>Authority-specific privacy applies.</x:v>
      </x:c>
    </x:row>
    <x:row r="50" ht="60" customHeight="1">
      <x:c r="A50" s="9" t="str">
        <x:v>AVL-02</x:v>
      </x:c>
      <x:c r="B50" s="9" t="str">
        <x:v>Availability</x:v>
      </x:c>
      <x:c r="C50" s="9" t="str">
        <x:v>Faculty</x:v>
      </x:c>
      <x:c r="D50" s="9" t="str">
        <x:v>D/L/B</x:v>
      </x:c>
      <x:c r="E50" s="9" t="str">
        <x:v>Synthetic fixtures; selected mode and SHA recorded; required role available.</x:v>
      </x:c>
      <x:c r="F50" s="9" t="str">
        <x:v>Check another person's AFC conflict and a separate timetable conflict.</x:v>
      </x:c>
      <x:c r="G50" s="9" t="str">
        <x:v>AFC is binary with no reason; timetable conflict may show authorized course/time only.</x:v>
      </x:c>
      <x:c r="H50" s="9" t="str">
        <x:v>Not run</x:v>
      </x:c>
      <x:c r="I50" s="12" t="str"/>
      <x:c r="J50" s="12" t="str"/>
      <x:c r="K50" s="12" t="str"/>
      <x:c r="L50" s="13"/>
      <x:c r="M50" s="9" t="str">
        <x:v>No AFC purpose, notes, PDF or contact leakage.</x:v>
      </x:c>
    </x:row>
    <x:row r="51" ht="60" customHeight="1">
      <x:c r="A51" s="9" t="str">
        <x:v>AVL-03</x:v>
      </x:c>
      <x:c r="B51" s="9" t="str">
        <x:v>Availability</x:v>
      </x:c>
      <x:c r="C51" s="9" t="str">
        <x:v>Administrator</x:v>
      </x:c>
      <x:c r="D51" s="9" t="str">
        <x:v>D/B</x:v>
      </x:c>
      <x:c r="E51" s="9" t="str">
        <x:v>Synthetic fixtures; selected mode and SHA recorded; required role available.</x:v>
      </x:c>
      <x:c r="F51" s="9" t="str">
        <x:v>Test touching intervals, partial overlaps, midnight, inclusive date ranges and an unknown time.</x:v>
      </x:c>
      <x:c r="G51" s="9" t="str">
        <x:v>Boundary behavior matches policy; unknown/inverted/missing data never becomes falsely Available.</x:v>
      </x:c>
      <x:c r="H51" s="9" t="str">
        <x:v>Not run</x:v>
      </x:c>
      <x:c r="I51" s="12" t="str"/>
      <x:c r="J51" s="12" t="str"/>
      <x:c r="K51" s="12" t="str"/>
      <x:c r="L51" s="13"/>
      <x:c r="M51" s="9" t="str">
        <x:v>Real data/query parity needs backend.</x:v>
      </x:c>
    </x:row>
    <x:row r="52" ht="60" customHeight="1">
      <x:c r="A52" s="9" t="str">
        <x:v>AVL-04</x:v>
      </x:c>
      <x:c r="B52" s="9" t="str">
        <x:v>Availability</x:v>
      </x:c>
      <x:c r="C52" s="9" t="str">
        <x:v>Administrator / Faculty</x:v>
      </x:c>
      <x:c r="D52" s="9" t="str">
        <x:v>B</x:v>
      </x:c>
      <x:c r="E52" s="9" t="str">
        <x:v>Synthetic fixtures; selected mode and SHA recorded; required role available.</x:v>
      </x:c>
      <x:c r="F52" s="9" t="str">
        <x:v>Change a source conflict after candidate selection and before final action.</x:v>
      </x:c>
      <x:c r="G52" s="9" t="str">
        <x:v>The final authority rechecks live data and blocks a stale availability decision.</x:v>
      </x:c>
      <x:c r="H52" s="9" t="str">
        <x:v>Not run</x:v>
      </x:c>
      <x:c r="I52" s="12" t="str"/>
      <x:c r="J52" s="12" t="str"/>
      <x:c r="K52" s="12" t="str"/>
      <x:c r="L52" s="13"/>
      <x:c r="M52" s="9" t="str">
        <x:v>Requires concurrency fixture; Demo may only simulate.</x:v>
      </x:c>
    </x:row>
    <x:row r="53" ht="60" customHeight="1">
      <x:c r="A53" s="9" t="str">
        <x:v>ROLE-01</x:v>
      </x:c>
      <x:c r="B53" s="9" t="str">
        <x:v>Roles and appointments</x:v>
      </x:c>
      <x:c r="C53" s="9" t="str">
        <x:v>Administrator</x:v>
      </x:c>
      <x:c r="D53" s="9" t="str">
        <x:v>D/L</x:v>
      </x:c>
      <x:c r="E53" s="9" t="str">
        <x:v>Synthetic fixtures; selected mode and SHA recorded; required role available.</x:v>
      </x:c>
      <x:c r="F53" s="9" t="str">
        <x:v>Search/filter HICC, Course Coordinator and VISC by course/area, year and as-of date.</x:v>
      </x:c>
      <x:c r="G53" s="9" t="str">
        <x:v>Correct source assignment/course/area and active/inactive/dates-needed status appear.</x:v>
      </x:c>
      <x:c r="H53" s="9" t="str">
        <x:v>Not run</x:v>
      </x:c>
      <x:c r="I53" s="12" t="str"/>
      <x:c r="J53" s="12" t="str"/>
      <x:c r="K53" s="12" t="str"/>
      <x:c r="L53" s="13"/>
      <x:c r="M53" s="9" t="str">
        <x:v>Dates do not independently change DOE policy.</x:v>
      </x:c>
    </x:row>
    <x:row r="54" ht="60" customHeight="1">
      <x:c r="A54" s="9" t="str">
        <x:v>ROLE-02</x:v>
      </x:c>
      <x:c r="B54" s="9" t="str">
        <x:v>Roles and appointments</x:v>
      </x:c>
      <x:c r="C54" s="9" t="str">
        <x:v>Administrator</x:v>
      </x:c>
      <x:c r="D54" s="9" t="str">
        <x:v>D/B</x:v>
      </x:c>
      <x:c r="E54" s="9" t="str">
        <x:v>Synthetic fixtures; selected mode and SHA recorded; required role available.</x:v>
      </x:c>
      <x:c r="F54" s="9" t="str">
        <x:v>Inspect start/end boundaries, multiple periods and missing source validity.</x:v>
      </x:c>
      <x:c r="G54" s="9" t="str">
        <x:v>Inclusive display and underlying boundary semantics agree; missing dates/default provenance are explicit.</x:v>
      </x:c>
      <x:c r="H54" s="9" t="str">
        <x:v>Not run</x:v>
      </x:c>
      <x:c r="I54" s="12" t="str"/>
      <x:c r="J54" s="12" t="str"/>
      <x:c r="K54" s="12" t="str"/>
      <x:c r="L54" s="13"/>
      <x:c r="M54" s="9" t="str">
        <x:v>Approved default window2026-05-01 to2027-04-30 only where applicable.</x:v>
      </x:c>
    </x:row>
    <x:row r="55" ht="60" customHeight="1">
      <x:c r="A55" s="9" t="str">
        <x:v>ROLE-03</x:v>
      </x:c>
      <x:c r="B55" s="9" t="str">
        <x:v>Roles and appointments</x:v>
      </x:c>
      <x:c r="C55" s="9" t="str">
        <x:v>Administrator</x:v>
      </x:c>
      <x:c r="D55" s="9" t="str">
        <x:v>D/B</x:v>
      </x:c>
      <x:c r="E55" s="9" t="str">
        <x:v>Synthetic fixtures; selected mode and SHA recorded; required role available.</x:v>
      </x:c>
      <x:c r="F55" s="9" t="str">
        <x:v>Edit a period with a current version, then retry using an old version.</x:v>
      </x:c>
      <x:c r="G55" s="9" t="str">
        <x:v>First edit saves once; stale edit is refused; source role/DOE identities remain unchanged.</x:v>
      </x:c>
      <x:c r="H55" s="9" t="str">
        <x:v>Not run</x:v>
      </x:c>
      <x:c r="I55" s="12" t="str"/>
      <x:c r="J55" s="12" t="str"/>
      <x:c r="K55" s="12" t="str"/>
      <x:c r="L55" s="13"/>
      <x:c r="M55" s="9" t="str">
        <x:v>Actual version/audit proof requires backend.</x:v>
      </x:c>
    </x:row>
    <x:row r="56" ht="60" customHeight="1">
      <x:c r="A56" s="9" t="str">
        <x:v>ROLE-04</x:v>
      </x:c>
      <x:c r="B56" s="9" t="str">
        <x:v>Roles and appointments</x:v>
      </x:c>
      <x:c r="C56" s="9" t="str">
        <x:v>HICC / VISC</x:v>
      </x:c>
      <x:c r="D56" s="9" t="str">
        <x:v>L/B</x:v>
      </x:c>
      <x:c r="E56" s="9" t="str">
        <x:v>Synthetic fixtures; selected mode and SHA recorded; required role available.</x:v>
      </x:c>
      <x:c r="F56" s="9" t="str">
        <x:v>Use an in-scope, out-of-scope, expired and different-year appointment fixture.</x:v>
      </x:c>
      <x:c r="G56" s="9" t="str">
        <x:v>Only the explicit current course/area/date scope grants the operation.</x:v>
      </x:c>
      <x:c r="H56" s="9" t="str">
        <x:v>Not run</x:v>
      </x:c>
      <x:c r="I56" s="12" t="str"/>
      <x:c r="J56" s="12" t="str"/>
      <x:c r="K56" s="12" t="str"/>
      <x:c r="L56" s="13"/>
      <x:c r="M56" s="9" t="str">
        <x:v>PR148 dated multi-role administration is a current port gap.</x:v>
      </x:c>
    </x:row>
    <x:row r="57" ht="60" customHeight="1">
      <x:c r="A57" s="9" t="str">
        <x:v>ROLE-05</x:v>
      </x:c>
      <x:c r="B57" s="9" t="str">
        <x:v>Roles and appointments</x:v>
      </x:c>
      <x:c r="C57" s="9" t="str">
        <x:v>Administrator</x:v>
      </x:c>
      <x:c r="D57" s="9" t="str">
        <x:v>D/B</x:v>
      </x:c>
      <x:c r="E57" s="9" t="str">
        <x:v>Synthetic fixtures; selected mode and SHA recorded; required role available.</x:v>
      </x:c>
      <x:c r="F57" s="9" t="str">
        <x:v>Compare role DOE, mapped/override/calculated/effective columns against the approved source.</x:v>
      </x:c>
      <x:c r="G57" s="9" t="str">
        <x:v>Values and units agree; unexplained differences are reported, not silently overwritten.</x:v>
      </x:c>
      <x:c r="H57" s="9" t="str">
        <x:v>Not run</x:v>
      </x:c>
      <x:c r="I57" s="12" t="str"/>
      <x:c r="J57" s="12" t="str"/>
      <x:c r="K57" s="12" t="str"/>
      <x:c r="L57" s="13"/>
      <x:c r="M57" s="9" t="str">
        <x:v>Human source reconciliation required.</x:v>
      </x:c>
    </x:row>
    <x:row r="58" ht="60" customHeight="1">
      <x:c r="A58" s="9" t="str">
        <x:v>CCC-01</x:v>
      </x:c>
      <x:c r="B58" s="9" t="str">
        <x:v>CCC schedule</x:v>
      </x:c>
      <x:c r="C58" s="9" t="str">
        <x:v>Administrator / Faculty</x:v>
      </x:c>
      <x:c r="D58" s="9" t="str">
        <x:v>D/L</x:v>
      </x:c>
      <x:c r="E58" s="9" t="str">
        <x:v>Synthetic fixtures; selected mode and SHA recorded; required role available.</x:v>
      </x:c>
      <x:c r="F58" s="9" t="str">
        <x:v>Open CCC, search/filter year and instructor, and compare date/slot/topic/location.</x:v>
      </x:c>
      <x:c r="G58" s="9" t="str">
        <x:v>All slots are represented correctly; Locum/unassigned positions remain visible and truthful.</x:v>
      </x:c>
      <x:c r="H58" s="9" t="str">
        <x:v>Not run</x:v>
      </x:c>
      <x:c r="I58" s="12" t="str"/>
      <x:c r="J58" s="12" t="str"/>
      <x:c r="K58" s="12" t="str"/>
      <x:c r="L58" s="13"/>
      <x:c r="M58" s="9" t="str">
        <x:v>Do not guess a missing instructor.</x:v>
      </x:c>
    </x:row>
    <x:row r="59" ht="60" customHeight="1">
      <x:c r="A59" s="9" t="str">
        <x:v>CCC-02</x:v>
      </x:c>
      <x:c r="B59" s="9" t="str">
        <x:v>CCC schedule</x:v>
      </x:c>
      <x:c r="C59" s="9" t="str">
        <x:v>Administrator</x:v>
      </x:c>
      <x:c r="D59" s="9" t="str">
        <x:v>D</x:v>
      </x:c>
      <x:c r="E59" s="9" t="str">
        <x:v>Synthetic fixtures; selected mode and SHA recorded; required role available.</x:v>
      </x:c>
      <x:c r="F59" s="9" t="str">
        <x:v>Download the bulk template and inspect headings, required fields and sample date/time formats.</x:v>
      </x:c>
      <x:c r="G59" s="9" t="str">
        <x:v>Template is usable without guessing; CSV/Excel formats and validation instructions are explicit.</x:v>
      </x:c>
      <x:c r="H59" s="9" t="str">
        <x:v>Not run</x:v>
      </x:c>
      <x:c r="I59" s="12" t="str"/>
      <x:c r="J59" s="12" t="str"/>
      <x:c r="K59" s="12" t="str"/>
      <x:c r="L59" s="13"/>
      <x:c r="M59" s="9" t="str">
        <x:v>Current adapter completeness must be verified.</x:v>
      </x:c>
    </x:row>
    <x:row r="60" ht="60" customHeight="1">
      <x:c r="A60" s="9" t="str">
        <x:v>CCC-03</x:v>
      </x:c>
      <x:c r="B60" s="9" t="str">
        <x:v>CCC schedule</x:v>
      </x:c>
      <x:c r="C60" s="9" t="str">
        <x:v>Administrator</x:v>
      </x:c>
      <x:c r="D60" s="9" t="str">
        <x:v>D/B</x:v>
      </x:c>
      <x:c r="E60" s="9" t="str">
        <x:v>Synthetic fixtures; selected mode and SHA recorded; required role available.</x:v>
      </x:c>
      <x:c r="F60" s="9" t="str">
        <x:v>Upload a complete synthetic academic-year replacement and inspect preview/counts/hash/issues.</x:v>
      </x:c>
      <x:c r="G60" s="9" t="str">
        <x:v>Preview covers the exact year and full slot set, with duplicates, identities and missing fields exposed.</x:v>
      </x:c>
      <x:c r="H60" s="9" t="str">
        <x:v>Not run</x:v>
      </x:c>
      <x:c r="I60" s="12" t="str"/>
      <x:c r="J60" s="12" t="str"/>
      <x:c r="K60" s="12" t="str"/>
      <x:c r="L60" s="13"/>
      <x:c r="M60" s="9" t="str">
        <x:v>Real full replacement requires approved exact preview.</x:v>
      </x:c>
    </x:row>
    <x:row r="61" ht="60" customHeight="1">
      <x:c r="A61" s="9" t="str">
        <x:v>CCC-04</x:v>
      </x:c>
      <x:c r="B61" s="9" t="str">
        <x:v>CCC schedule</x:v>
      </x:c>
      <x:c r="C61" s="9" t="str">
        <x:v>Administrator</x:v>
      </x:c>
      <x:c r="D61" s="9" t="str">
        <x:v>B</x:v>
      </x:c>
      <x:c r="E61" s="9" t="str">
        <x:v>Synthetic fixtures; selected mode and SHA recorded; required role available.</x:v>
      </x:c>
      <x:c r="F61" s="9" t="str">
        <x:v>Confirm the exact preview, compare Calendar/CCC/DOE and inspect a retry/recovery fixture.</x:v>
      </x:c>
      <x:c r="G61" s="9" t="str">
        <x:v>Replacement is atomic, idempotent and scoped; recovery restores the intended set without unrelated changes.</x:v>
      </x:c>
      <x:c r="H61" s="9" t="str">
        <x:v>Not run</x:v>
      </x:c>
      <x:c r="I61" s="12" t="str"/>
      <x:c r="J61" s="12" t="str"/>
      <x:c r="K61" s="12" t="str"/>
      <x:c r="L61" s="13"/>
      <x:c r="M61" s="9" t="str">
        <x:v>Demo UI cannot certify SQL transaction/recovery.</x:v>
      </x:c>
    </x:row>
    <x:row r="62" ht="60" customHeight="1">
      <x:c r="A62" s="9" t="str">
        <x:v>ROT-01</x:v>
      </x:c>
      <x:c r="B62" s="9" t="str">
        <x:v>Rotation and other work</x:v>
      </x:c>
      <x:c r="C62" s="9" t="str">
        <x:v>All authorized</x:v>
      </x:c>
      <x:c r="D62" s="9" t="str">
        <x:v>D</x:v>
      </x:c>
      <x:c r="E62" s="9" t="str">
        <x:v>Synthetic fixtures; selected mode and SHA recorded; required role available.</x:v>
      </x:c>
      <x:c r="F62" s="9" t="str">
        <x:v>Open Rotation in Calendar and compare participant, supervisor, dates, course and area.</x:v>
      </x:c>
      <x:c r="G62" s="9" t="str">
        <x:v>Rotation data and ranges match the approved source; TBD remains TBD.</x:v>
      </x:c>
      <x:c r="H62" s="9" t="str">
        <x:v>Not run</x:v>
      </x:c>
      <x:c r="I62" s="12" t="str"/>
      <x:c r="J62" s="12" t="str"/>
      <x:c r="K62" s="12" t="str"/>
      <x:c r="L62" s="13"/>
      <x:c r="M62" s="9" t="str">
        <x:v>Do not collapse all rotation categories into CCC.</x:v>
      </x:c>
    </x:row>
    <x:row r="63" ht="60" customHeight="1">
      <x:c r="A63" s="9" t="str">
        <x:v>ROT-02</x:v>
      </x:c>
      <x:c r="B63" s="9" t="str">
        <x:v>Rotation and other work</x:v>
      </x:c>
      <x:c r="C63" s="9" t="str">
        <x:v>Administrator / Faculty</x:v>
      </x:c>
      <x:c r="D63" s="9" t="str">
        <x:v>D</x:v>
      </x:c>
      <x:c r="E63" s="9" t="str">
        <x:v>Synthetic fixtures; selected mode and SHA recorded; required role available.</x:v>
      </x:c>
      <x:c r="F63" s="9" t="str">
        <x:v>Open Other working activities in Dashboard and compare Calendar categories.</x:v>
      </x:c>
      <x:c r="G63" s="9" t="str">
        <x:v>CCC, Rotation and formal teaching are excluded; only work not assigned to those established categories appears.</x:v>
      </x:c>
      <x:c r="H63" s="9" t="str">
        <x:v>Not run</x:v>
      </x:c>
      <x:c r="I63" s="12" t="str"/>
      <x:c r="J63" s="12" t="str"/>
      <x:c r="K63" s="12" t="str"/>
      <x:c r="L63" s="13"/>
      <x:c r="M63" s="9" t="str">
        <x:v>Grouping is by activity ownership, not missing instructor.</x:v>
      </x:c>
    </x:row>
    <x:row r="64" ht="60" customHeight="1">
      <x:c r="A64" s="9" t="str">
        <x:v>ROT-03</x:v>
      </x:c>
      <x:c r="B64" s="9" t="str">
        <x:v>Rotation and other work</x:v>
      </x:c>
      <x:c r="C64" s="9" t="str">
        <x:v>Administrator</x:v>
      </x:c>
      <x:c r="D64" s="9" t="str">
        <x:v>D/B</x:v>
      </x:c>
      <x:c r="E64" s="9" t="str">
        <x:v>Synthetic fixtures; selected mode and SHA recorded; required role available.</x:v>
      </x:c>
      <x:c r="F64" s="9" t="str">
        <x:v>Inspect clinical day/PPVM, rounds, presentations, pharmacology and teaching-excellence examples.</x:v>
      </x:c>
      <x:c r="G64" s="9" t="str">
        <x:v>Each appears in the correct work category/filter, with meaningful dates and missing-time provenance.</x:v>
      </x:c>
      <x:c r="H64" s="9" t="str">
        <x:v>Not run</x:v>
      </x:c>
      <x:c r="I64" s="12" t="str"/>
      <x:c r="J64" s="12" t="str"/>
      <x:c r="K64" s="12" t="str"/>
      <x:c r="L64" s="13"/>
      <x:c r="M64" s="9" t="str">
        <x:v>Source migration parity requires backend.</x:v>
      </x:c>
    </x:row>
    <x:row r="65" ht="60" customHeight="1">
      <x:c r="A65" s="9" t="str">
        <x:v>ROT-04</x:v>
      </x:c>
      <x:c r="B65" s="9" t="str">
        <x:v>Rotation and other work</x:v>
      </x:c>
      <x:c r="C65" s="9" t="str">
        <x:v>Administrator</x:v>
      </x:c>
      <x:c r="D65" s="9" t="str">
        <x:v>B</x:v>
      </x:c>
      <x:c r="E65" s="9" t="str">
        <x:v>Synthetic fixtures; selected mode and SHA recorded; required role available.</x:v>
      </x:c>
      <x:c r="F65" s="9" t="str">
        <x:v>Preview a synthetic AFC-to-Calendar classification migration.</x:v>
      </x:c>
      <x:c r="G65" s="9" t="str">
        <x:v>Work leaves AFC only for exact approved matches; Remote work, OPA, travel, vacation, RSL and leave remain AFC/away as approved.</x:v>
      </x:c>
      <x:c r="H65" s="9" t="str">
        <x:v>Not run</x:v>
      </x:c>
      <x:c r="I65" s="12" t="str"/>
      <x:c r="J65" s="12" t="str"/>
      <x:c r="K65" s="12" t="str"/>
      <x:c r="L65" s="13"/>
      <x:c r="M65" s="9" t="str">
        <x:v>No production migration during manual Testing.</x:v>
      </x:c>
    </x:row>
    <x:row r="66" ht="60" customHeight="1">
      <x:c r="A66" s="9" t="str">
        <x:v>ROT-05</x:v>
      </x:c>
      <x:c r="B66" s="9" t="str">
        <x:v>Rotation and other work</x:v>
      </x:c>
      <x:c r="C66" s="9" t="str">
        <x:v>Administrator</x:v>
      </x:c>
      <x:c r="D66" s="9" t="str">
        <x:v>B</x:v>
      </x:c>
      <x:c r="E66" s="9" t="str">
        <x:v>Synthetic fixtures; selected mode and SHA recorded; required role available.</x:v>
      </x:c>
      <x:c r="F66" s="9" t="str">
        <x:v>Inspect duplicate, inverted-date, missing-teacher and missing-reason source fixtures.</x:v>
      </x:c>
      <x:c r="G66" s="9" t="str">
        <x:v>Away/review-needed classification retains the raw issue; no duplicate insert, invented identity/date or fuzzy delete.</x:v>
      </x:c>
      <x:c r="H66" s="9" t="str">
        <x:v>Not run</x:v>
      </x:c>
      <x:c r="I66" s="12" t="str"/>
      <x:c r="J66" s="12" t="str"/>
      <x:c r="K66" s="12" t="str"/>
      <x:c r="L66" s="13"/>
      <x:c r="M66" s="9" t="str">
        <x:v>Requires safe isolated import fixtures.</x:v>
      </x:c>
    </x:row>
    <x:row r="67" ht="60" customHeight="1">
      <x:c r="A67" s="9" t="str">
        <x:v>TRN-01</x:v>
      </x:c>
      <x:c r="B67" s="9" t="str">
        <x:v>Trainees</x:v>
      </x:c>
      <x:c r="C67" s="9" t="str">
        <x:v>Administrator / Faculty</x:v>
      </x:c>
      <x:c r="D67" s="9" t="str">
        <x:v>D</x:v>
      </x:c>
      <x:c r="E67" s="9" t="str">
        <x:v>Synthetic fixtures; selected mode and SHA recorded; required role available.</x:v>
      </x:c>
      <x:c r="F67" s="9" t="str">
        <x:v>Open the separate Trainees tab, choose year and search names/category/supervisor.</x:v>
      </x:c>
      <x:c r="G67" s="9" t="str">
        <x:v>The proper source cohort appears with scoped records and accurate counts.</x:v>
      </x:c>
      <x:c r="H67" s="9" t="str">
        <x:v>Not run</x:v>
      </x:c>
      <x:c r="I67" s="12" t="str"/>
      <x:c r="J67" s="12" t="str"/>
      <x:c r="K67" s="12" t="str"/>
      <x:c r="L67" s="13"/>
      <x:c r="M67" s="9" t="str">
        <x:v>Do not infer private contact access.</x:v>
      </x:c>
    </x:row>
    <x:row r="68" ht="60" customHeight="1">
      <x:c r="A68" s="9" t="str">
        <x:v>TRN-02</x:v>
      </x:c>
      <x:c r="B68" s="9" t="str">
        <x:v>Trainees</x:v>
      </x:c>
      <x:c r="C68" s="9" t="str">
        <x:v>Administrator</x:v>
      </x:c>
      <x:c r="D68" s="9" t="str">
        <x:v>D/B</x:v>
      </x:c>
      <x:c r="E68" s="9" t="str">
        <x:v>Synthetic fixtures; selected mode and SHA recorded; required role available.</x:v>
      </x:c>
      <x:c r="F68" s="9" t="str">
        <x:v>Compare all seven source category statistics, including zero/missing and duplicate fixtures.</x:v>
      </x:c>
      <x:c r="G68" s="9" t="str">
        <x:v>Definitions match the source, totals do not double count, and missing values are not fabricated.</x:v>
      </x:c>
      <x:c r="H68" s="9" t="str">
        <x:v>Not run</x:v>
      </x:c>
      <x:c r="I68" s="12" t="str"/>
      <x:c r="J68" s="12" t="str"/>
      <x:c r="K68" s="12" t="str"/>
      <x:c r="L68" s="13"/>
      <x:c r="M68" s="9" t="str">
        <x:v>Use approved synthetic source control totals.</x:v>
      </x:c>
    </x:row>
    <x:row r="69" ht="60" customHeight="1">
      <x:c r="A69" s="9" t="str">
        <x:v>TRN-03</x:v>
      </x:c>
      <x:c r="B69" s="9" t="str">
        <x:v>Trainees</x:v>
      </x:c>
      <x:c r="C69" s="9" t="str">
        <x:v>Administrator</x:v>
      </x:c>
      <x:c r="D69" s="9" t="str">
        <x:v>B</x:v>
      </x:c>
      <x:c r="E69" s="9" t="str">
        <x:v>Synthetic fixtures; selected mode and SHA recorded; required role available.</x:v>
      </x:c>
      <x:c r="F69" s="9" t="str">
        <x:v>Refresh a changed synthetic trainee source and inspect year boundaries and supervision DOE.</x:v>
      </x:c>
      <x:c r="G69" s="9" t="str">
        <x:v>Only approved cohort/year changes apply; source/DOE discrepancies stay visible.</x:v>
      </x:c>
      <x:c r="H69" s="9" t="str">
        <x:v>Not run</x:v>
      </x:c>
      <x:c r="I69" s="12" t="str"/>
      <x:c r="J69" s="12" t="str"/>
      <x:c r="K69" s="12" t="str"/>
      <x:c r="L69" s="13"/>
      <x:c r="M69" s="9" t="str">
        <x:v>Durable import and reconciliation need backend.</x:v>
      </x:c>
    </x:row>
    <x:row r="70" ht="60" customHeight="1">
      <x:c r="A70" s="9" t="str">
        <x:v>DOE-01</x:v>
      </x:c>
      <x:c r="B70" s="9" t="str">
        <x:v>DOE summaries and worksheets</x:v>
      </x:c>
      <x:c r="C70" s="9" t="str">
        <x:v>Administrator / Faculty</x:v>
      </x:c>
      <x:c r="D70" s="9" t="str">
        <x:v>D/B</x:v>
      </x:c>
      <x:c r="E70" s="9" t="str">
        <x:v>Synthetic fixtures; selected mode and SHA recorded; required role available.</x:v>
      </x:c>
      <x:c r="F70" s="9" t="str">
        <x:v>Open Teaching Summary, DOE Overview/List and an authorized worksheet for the same year.</x:v>
      </x:c>
      <x:c r="G70" s="9" t="str">
        <x:v>Assigned, role, supervision, target and remaining/overage totals reconcile or show a specific unresolved reason.</x:v>
      </x:c>
      <x:c r="H70" s="9" t="str">
        <x:v>Not run</x:v>
      </x:c>
      <x:c r="I70" s="12" t="str"/>
      <x:c r="J70" s="12" t="str"/>
      <x:c r="K70" s="12" t="str"/>
      <x:c r="L70" s="13"/>
      <x:c r="M70" s="9" t="str">
        <x:v>Demo values are illustrative, not authoritative policy.</x:v>
      </x:c>
    </x:row>
    <x:row r="71" ht="60" customHeight="1">
      <x:c r="A71" s="9" t="str">
        <x:v>DOE-02</x:v>
      </x:c>
      <x:c r="B71" s="9" t="str">
        <x:v>DOE summaries and worksheets</x:v>
      </x:c>
      <x:c r="C71" s="9" t="str">
        <x:v>Administrator</x:v>
      </x:c>
      <x:c r="D71" s="9" t="str">
        <x:v>D/B</x:v>
      </x:c>
      <x:c r="E71" s="9" t="str">
        <x:v>Synthetic fixtures; selected mode and SHA recorded; required role available.</x:v>
      </x:c>
      <x:c r="F71" s="9" t="str">
        <x:v>Compare formula inputs, units, rounding, policy version and detailed course contributions.</x:v>
      </x:c>
      <x:c r="G71" s="9" t="str">
        <x:v>Approved source/formula is used; unknown contract DOE/FTE/rank are not guessed.</x:v>
      </x:c>
      <x:c r="H71" s="9" t="str">
        <x:v>Not run</x:v>
      </x:c>
      <x:c r="I71" s="12" t="str"/>
      <x:c r="J71" s="12" t="str"/>
      <x:c r="K71" s="12" t="str"/>
      <x:c r="L71" s="13"/>
      <x:c r="M71" s="9" t="str">
        <x:v>Record both expected source and observed values.</x:v>
      </x:c>
    </x:row>
    <x:row r="72" ht="60" customHeight="1">
      <x:c r="A72" s="9" t="str">
        <x:v>DOE-03</x:v>
      </x:c>
      <x:c r="B72" s="9" t="str">
        <x:v>DOE summaries and worksheets</x:v>
      </x:c>
      <x:c r="C72" s="9" t="str">
        <x:v>Faculty</x:v>
      </x:c>
      <x:c r="D72" s="9" t="str">
        <x:v>L/B</x:v>
      </x:c>
      <x:c r="E72" s="9" t="str">
        <x:v>Synthetic fixtures; selected mode and SHA recorded; required role available.</x:v>
      </x:c>
      <x:c r="F72" s="9" t="str">
        <x:v>Open own DOE and try another person's worksheet/direct API/export.</x:v>
      </x:c>
      <x:c r="G72" s="9" t="str">
        <x:v>Own authorized values appear; colleagues' private DOE is denied/absent.</x:v>
      </x:c>
      <x:c r="H72" s="9" t="str">
        <x:v>Not run</x:v>
      </x:c>
      <x:c r="I72" s="12" t="str"/>
      <x:c r="J72" s="12" t="str"/>
      <x:c r="K72" s="12" t="str"/>
      <x:c r="L72" s="13"/>
      <x:c r="M72" s="9" t="str">
        <x:v>Inspect delivery boundary.</x:v>
      </x:c>
    </x:row>
    <x:row r="73" ht="60" customHeight="1">
      <x:c r="A73" s="9" t="str">
        <x:v>DOE-04</x:v>
      </x:c>
      <x:c r="B73" s="9" t="str">
        <x:v>DOE summaries and worksheets</x:v>
      </x:c>
      <x:c r="C73" s="9" t="str">
        <x:v>Administrator</x:v>
      </x:c>
      <x:c r="D73" s="9" t="str">
        <x:v>D/B</x:v>
      </x:c>
      <x:c r="E73" s="9" t="str">
        <x:v>Synthetic fixtures; selected mode and SHA recorded; required role available.</x:v>
      </x:c>
      <x:c r="F73" s="9" t="str">
        <x:v>Add/update an allowed manual assignment or target override with a reason; cancel another edit.</x:v>
      </x:c>
      <x:c r="G73" s="9" t="str">
        <x:v>Preview/save/history agree; cancellation is inert; stale versions do not overwrite newer data.</x:v>
      </x:c>
      <x:c r="H73" s="9" t="str">
        <x:v>Not run</x:v>
      </x:c>
      <x:c r="I73" s="12" t="str"/>
      <x:c r="J73" s="12" t="str"/>
      <x:c r="K73" s="12" t="str"/>
      <x:c r="L73" s="13"/>
      <x:c r="M73" s="9" t="str">
        <x:v>Backend gates and durable audit require B.</x:v>
      </x:c>
    </x:row>
    <x:row r="74" ht="60" customHeight="1">
      <x:c r="A74" s="9" t="str">
        <x:v>DOE-05</x:v>
      </x:c>
      <x:c r="B74" s="9" t="str">
        <x:v>DOE summaries and worksheets</x:v>
      </x:c>
      <x:c r="C74" s="9" t="str">
        <x:v>Administrator</x:v>
      </x:c>
      <x:c r="D74" s="9" t="str">
        <x:v>D/B</x:v>
      </x:c>
      <x:c r="E74" s="9" t="str">
        <x:v>Synthetic fixtures; selected mode and SHA recorded; required role available.</x:v>
      </x:c>
      <x:c r="F74" s="9" t="str">
        <x:v>Run DOE Checking/Reconciliation against an approved synthetic source, including known differences.</x:v>
      </x:c>
      <x:c r="G74" s="9" t="str">
        <x:v>Differences are itemized by source and year; inconsistent figures are not silently rewritten.</x:v>
      </x:c>
      <x:c r="H74" s="9" t="str">
        <x:v>Not run</x:v>
      </x:c>
      <x:c r="I74" s="12" t="str"/>
      <x:c r="J74" s="12" t="str"/>
      <x:c r="K74" s="12" t="str"/>
      <x:c r="L74" s="13"/>
      <x:c r="M74" s="9" t="str">
        <x:v>Beta PR101/102 and later approved rules are reference contracts.</x:v>
      </x:c>
    </x:row>
    <x:row r="75" ht="60" customHeight="1">
      <x:c r="A75" s="9" t="str">
        <x:v>DOE-06</x:v>
      </x:c>
      <x:c r="B75" s="9" t="str">
        <x:v>DOE summaries and worksheets</x:v>
      </x:c>
      <x:c r="C75" s="9" t="str">
        <x:v>Faculty / Office</x:v>
      </x:c>
      <x:c r="D75" s="9" t="str">
        <x:v>L/B</x:v>
      </x:c>
      <x:c r="E75" s="9" t="str">
        <x:v>Synthetic fixtures; selected mode and SHA recorded; required role available.</x:v>
      </x:c>
      <x:c r="F75" s="9" t="str">
        <x:v>Try an admin DOE control and direct request outside scope.</x:v>
      </x:c>
      <x:c r="G75" s="9" t="str">
        <x:v>Authority denies the operation; no hidden-data prefetch or browser fallback grants it.</x:v>
      </x:c>
      <x:c r="H75" s="9" t="str">
        <x:v>Not run</x:v>
      </x:c>
      <x:c r="I75" s="12" t="str"/>
      <x:c r="J75" s="12" t="str"/>
      <x:c r="K75" s="12" t="str"/>
      <x:c r="L75" s="13"/>
      <x:c r="M75" s="9" t="str">
        <x:v>Role selector is not real security evidence.</x:v>
      </x:c>
    </x:row>
    <x:row r="76" ht="60" customHeight="1">
      <x:c r="A76" s="9" t="str">
        <x:v>RULE-01</x:v>
      </x:c>
      <x:c r="B76" s="9" t="str">
        <x:v>Annual DOE Rule Book</x:v>
      </x:c>
      <x:c r="C76" s="9" t="str">
        <x:v>Owner / Administrator</x:v>
      </x:c>
      <x:c r="D76" s="9" t="str">
        <x:v>D/L</x:v>
      </x:c>
      <x:c r="E76" s="9" t="str">
        <x:v>Synthetic fixtures; selected mode and SHA recorded; required role available.</x:v>
      </x:c>
      <x:c r="F76" s="9" t="str">
        <x:v>Open the annual rule book, search/filter, inspect tables, effective year and version.</x:v>
      </x:c>
      <x:c r="G76" s="9" t="str">
        <x:v>The correct year's version and rule parameters are clear; prior policy remains distinguishable.</x:v>
      </x:c>
      <x:c r="H76" s="9" t="str">
        <x:v>Not run</x:v>
      </x:c>
      <x:c r="I76" s="12" t="str"/>
      <x:c r="J76" s="12" t="str"/>
      <x:c r="K76" s="12" t="str"/>
      <x:c r="L76" s="13"/>
      <x:c r="M76" s="9" t="str">
        <x:v>Current Lab writer is off.</x:v>
      </x:c>
    </x:row>
    <x:row r="77" ht="60" customHeight="1">
      <x:c r="A77" s="9" t="str">
        <x:v>RULE-02</x:v>
      </x:c>
      <x:c r="B77" s="9" t="str">
        <x:v>Annual DOE Rule Book</x:v>
      </x:c>
      <x:c r="C77" s="9" t="str">
        <x:v>Authorized admin</x:v>
      </x:c>
      <x:c r="D77" s="9" t="str">
        <x:v>B</x:v>
      </x:c>
      <x:c r="E77" s="9" t="str">
        <x:v>Synthetic fixtures; selected mode and SHA recorded; required role available.</x:v>
      </x:c>
      <x:c r="F77" s="9" t="str">
        <x:v>Create/copy/edit a draft in an isolated supported backend and preview the impact.</x:v>
      </x:c>
      <x:c r="G77" s="9" t="str">
        <x:v>Draft is separate; affected faculty/inputs/calculations and source version are explicit.</x:v>
      </x:c>
      <x:c r="H77" s="9" t="str">
        <x:v>Not run</x:v>
      </x:c>
      <x:c r="I77" s="12" t="str"/>
      <x:c r="J77" s="12" t="str"/>
      <x:c r="K77" s="12" t="str"/>
      <x:c r="L77" s="13"/>
      <x:c r="M77" s="9" t="str">
        <x:v>Demo may simulate UI only; trusted admin path required.</x:v>
      </x:c>
    </x:row>
    <x:row r="78" ht="60" customHeight="1">
      <x:c r="A78" s="9" t="str">
        <x:v>RULE-03</x:v>
      </x:c>
      <x:c r="B78" s="9" t="str">
        <x:v>Annual DOE Rule Book</x:v>
      </x:c>
      <x:c r="C78" s="9" t="str">
        <x:v>Owner</x:v>
      </x:c>
      <x:c r="D78" s="9" t="str">
        <x:v>B</x:v>
      </x:c>
      <x:c r="E78" s="9" t="str">
        <x:v>Synthetic fixtures; selected mode and SHA recorded; required role available.</x:v>
      </x:c>
      <x:c r="F78" s="9" t="str">
        <x:v>Publish/recalculate/archive using the reviewed trusted admin path, then verify retries and history.</x:v>
      </x:c>
      <x:c r="G78" s="9" t="str">
        <x:v>Only authorized current preview applies once; policy/calculation version and audit remain consistent.</x:v>
      </x:c>
      <x:c r="H78" s="9" t="str">
        <x:v>Not run</x:v>
      </x:c>
      <x:c r="I78" s="12" t="str"/>
      <x:c r="J78" s="12" t="str"/>
      <x:c r="K78" s="12" t="str"/>
      <x:c r="L78" s="13"/>
      <x:c r="M78" s="9" t="str">
        <x:v>Missing job/adapter is Blocked; never enable Lab browser DOE writes.</x:v>
      </x:c>
    </x:row>
    <x:row r="79" ht="60" customHeight="1">
      <x:c r="A79" s="9" t="str">
        <x:v>RULE-04</x:v>
      </x:c>
      <x:c r="B79" s="9" t="str">
        <x:v>Annual DOE Rule Book</x:v>
      </x:c>
      <x:c r="C79" s="9" t="str">
        <x:v>Administrator / Faculty</x:v>
      </x:c>
      <x:c r="D79" s="9" t="str">
        <x:v>L/B</x:v>
      </x:c>
      <x:c r="E79" s="9" t="str">
        <x:v>Synthetic fixtures; selected mode and SHA recorded; required role available.</x:v>
      </x:c>
      <x:c r="F79" s="9" t="str">
        <x:v>Attempt Owner-only publication and browser Firestore DOE mutations.</x:v>
      </x:c>
      <x:c r="G79" s="9" t="str">
        <x:v>Disallowed publication/direct browser writes fail at the authority.</x:v>
      </x:c>
      <x:c r="H79" s="9" t="str">
        <x:v>Not run</x:v>
      </x:c>
      <x:c r="I79" s="12" t="str"/>
      <x:c r="J79" s="12" t="str"/>
      <x:c r="K79" s="12" t="str"/>
      <x:c r="L79" s="13"/>
      <x:c r="M79" s="9" t="str">
        <x:v>Rules/emulator and real backend evidence required.</x:v>
      </x:c>
    </x:row>
    <x:row r="80" ht="60" customHeight="1">
      <x:c r="A80" s="9" t="str">
        <x:v>AFC-01</x:v>
      </x:c>
      <x:c r="B80" s="9" t="str">
        <x:v>AFC records and absence</x:v>
      </x:c>
      <x:c r="C80" s="9" t="str">
        <x:v>Administrator</x:v>
      </x:c>
      <x:c r="D80" s="9" t="str">
        <x:v>D/B</x:v>
      </x:c>
      <x:c r="E80" s="9" t="str">
        <x:v>Synthetic fixtures; selected mode and SHA recorded; required role available.</x:v>
      </x:c>
      <x:c r="F80" s="9" t="str">
        <x:v>Create one synthetic AFC record; inspect faculty label, range, reason, required notes and audit.</x:v>
      </x:c>
      <x:c r="G80" s="9" t="str">
        <x:v>Valid permitted absence saves once; UID is not displayed as the faculty label.</x:v>
      </x:c>
      <x:c r="H80" s="9" t="str">
        <x:v>Not run</x:v>
      </x:c>
      <x:c r="I80" s="12" t="str"/>
      <x:c r="J80" s="12" t="str"/>
      <x:c r="K80" s="12" t="str"/>
      <x:c r="L80" s="13"/>
      <x:c r="M80" s="9" t="str">
        <x:v>Special/Other notes required; use current supported reason list.</x:v>
      </x:c>
    </x:row>
    <x:row r="81" ht="60" customHeight="1">
      <x:c r="A81" s="9" t="str">
        <x:v>AFC-02</x:v>
      </x:c>
      <x:c r="B81" s="9" t="str">
        <x:v>AFC records and absence</x:v>
      </x:c>
      <x:c r="C81" s="9" t="str">
        <x:v>Administrator</x:v>
      </x:c>
      <x:c r="D81" s="9" t="str">
        <x:v>D/B</x:v>
      </x:c>
      <x:c r="E81" s="9" t="str">
        <x:v>Synthetic fixtures; selected mode and SHA recorded; required role available.</x:v>
      </x:c>
      <x:c r="F81" s="9" t="str">
        <x:v>Use Multi Input/paste with valid rows, bad identities, duplicate rows and invalid ranges.</x:v>
      </x:c>
      <x:c r="G81" s="9" t="str">
        <x:v>Preview reports issues; confirmed valid batch has no unintended partial write.</x:v>
      </x:c>
      <x:c r="H81" s="9" t="str">
        <x:v>Not run</x:v>
      </x:c>
      <x:c r="I81" s="12" t="str"/>
      <x:c r="J81" s="12" t="str"/>
      <x:c r="K81" s="12" t="str"/>
      <x:c r="L81" s="13"/>
      <x:c r="M81" s="9" t="str">
        <x:v>Actual atomicity needs backend.</x:v>
      </x:c>
    </x:row>
    <x:row r="82" ht="60" customHeight="1">
      <x:c r="A82" s="9" t="str">
        <x:v>AFC-03</x:v>
      </x:c>
      <x:c r="B82" s="9" t="str">
        <x:v>AFC records and absence</x:v>
      </x:c>
      <x:c r="C82" s="9" t="str">
        <x:v>Administrator</x:v>
      </x:c>
      <x:c r="D82" s="9" t="str">
        <x:v>D/B</x:v>
      </x:c>
      <x:c r="E82" s="9" t="str">
        <x:v>Synthetic fixtures; selected mode and SHA recorded; required role available.</x:v>
      </x:c>
      <x:c r="F82" s="9" t="str">
        <x:v>Cancel/remove a future travel record and reload availability/history.</x:v>
      </x:c>
      <x:c r="G82" s="9" t="str">
        <x:v>Only the intended row is cancelled/removed through the supported recoverable action; history remains.</x:v>
      </x:c>
      <x:c r="H82" s="9" t="str">
        <x:v>Not run</x:v>
      </x:c>
      <x:c r="I82" s="12" t="str"/>
      <x:c r="J82" s="12" t="str"/>
      <x:c r="K82" s="12" t="str"/>
      <x:c r="L82" s="13"/>
      <x:c r="M82" s="9" t="str">
        <x:v>Permanent deletion is not assumed.</x:v>
      </x:c>
    </x:row>
    <x:row r="83" ht="60" customHeight="1">
      <x:c r="A83" s="9" t="str">
        <x:v>AFC-04</x:v>
      </x:c>
      <x:c r="B83" s="9" t="str">
        <x:v>AFC records and absence</x:v>
      </x:c>
      <x:c r="C83" s="9" t="str">
        <x:v>Administrator</x:v>
      </x:c>
      <x:c r="D83" s="9" t="str">
        <x:v>D/B</x:v>
      </x:c>
      <x:c r="E83" s="9" t="str">
        <x:v>Synthetic fixtures; selected mode and SHA recorded; required role available.</x:v>
      </x:c>
      <x:c r="F83" s="9" t="str">
        <x:v>Create manual AFC with an original synthetic PDF under Create AFC Records.</x:v>
      </x:c>
      <x:c r="G83" s="9" t="str">
        <x:v>Manual fields and PDF archive association are clear and validated; no automatic fake PDF is claimed.</x:v>
      </x:c>
      <x:c r="H83" s="9" t="str">
        <x:v>Not run</x:v>
      </x:c>
      <x:c r="I83" s="12" t="str"/>
      <x:c r="J83" s="12" t="str"/>
      <x:c r="K83" s="12" t="str"/>
      <x:c r="L83" s="13"/>
      <x:c r="M83" s="9" t="str">
        <x:v>Current adapter storage behavior must be verified.</x:v>
      </x:c>
    </x:row>
    <x:row r="84" ht="60" customHeight="1">
      <x:c r="A84" s="9" t="str">
        <x:v>AFC-05</x:v>
      </x:c>
      <x:c r="B84" s="9" t="str">
        <x:v>AFC records and absence</x:v>
      </x:c>
      <x:c r="C84" s="9" t="str">
        <x:v>Administrator</x:v>
      </x:c>
      <x:c r="D84" s="9" t="str">
        <x:v>D/B</x:v>
      </x:c>
      <x:c r="E84" s="9" t="str">
        <x:v>Synthetic fixtures; selected mode and SHA recorded; required role available.</x:v>
      </x:c>
      <x:c r="F84" s="9" t="str">
        <x:v>Download each record's original PDF, including a legacy record without an original.</x:v>
      </x:c>
      <x:c r="G84" s="9" t="str">
        <x:v>Original bytes/association are correct; legacy PDF column shows N/A, not a broken download.</x:v>
      </x:c>
      <x:c r="H84" s="9" t="str">
        <x:v>Not run</x:v>
      </x:c>
      <x:c r="I84" s="12" t="str"/>
      <x:c r="J84" s="12" t="str"/>
      <x:c r="K84" s="12" t="str"/>
      <x:c r="L84" s="13"/>
      <x:c r="M84" s="9" t="str">
        <x:v>Durable protected storage requires B.</x:v>
      </x:c>
    </x:row>
    <x:row r="85" ht="60" customHeight="1">
      <x:c r="A85" s="9" t="str">
        <x:v>AFC-06</x:v>
      </x:c>
      <x:c r="B85" s="9" t="str">
        <x:v>AFC records and absence</x:v>
      </x:c>
      <x:c r="C85" s="9" t="str">
        <x:v>Faculty</x:v>
      </x:c>
      <x:c r="D85" s="9" t="str">
        <x:v>L/B</x:v>
      </x:c>
      <x:c r="E85" s="9" t="str">
        <x:v>Synthetic fixtures; selected mode and SHA recorded; required role available.</x:v>
      </x:c>
      <x:c r="F85" s="9" t="str">
        <x:v>Open own AFC/PDF page and attempt another faculty member's original/direct download.</x:v>
      </x:c>
      <x:c r="G85" s="9" t="str">
        <x:v>Own authorized original is downloadable; cross-faculty artifact is denied without leaking reason/data.</x:v>
      </x:c>
      <x:c r="H85" s="9" t="str">
        <x:v>Not run</x:v>
      </x:c>
      <x:c r="I85" s="12" t="str"/>
      <x:c r="J85" s="12" t="str"/>
      <x:c r="K85" s="12" t="str"/>
      <x:c r="L85" s="13"/>
      <x:c r="M85" s="9" t="str">
        <x:v>Synthetic confidential documents only.</x:v>
      </x:c>
    </x:row>
    <x:row r="86" ht="60" customHeight="1">
      <x:c r="A86" s="9" t="str">
        <x:v>AFC-07</x:v>
      </x:c>
      <x:c r="B86" s="9" t="str">
        <x:v>AFC records and absence</x:v>
      </x:c>
      <x:c r="C86" s="9" t="str">
        <x:v>Faculty</x:v>
      </x:c>
      <x:c r="D86" s="9" t="str">
        <x:v>D/B</x:v>
      </x:c>
      <x:c r="E86" s="9" t="str">
        <x:v>Synthetic fixtures; selected mode and SHA recorded; required role available.</x:v>
      </x:c>
      <x:c r="F86" s="9" t="str">
        <x:v>Generate/submit an AFC request, save draft if supported, cancel before submit and view status.</x:v>
      </x:c>
      <x:c r="G86" s="9" t="str">
        <x:v>Valid request enters the correct review flow; cancellation is inert; repeated submit is not duplicated.</x:v>
      </x:c>
      <x:c r="H86" s="9" t="str">
        <x:v>Not run</x:v>
      </x:c>
      <x:c r="I86" s="12" t="str"/>
      <x:c r="J86" s="12" t="str"/>
      <x:c r="K86" s="12" t="str"/>
      <x:c r="L86" s="13"/>
      <x:c r="M86" s="9" t="str">
        <x:v>Delivery/SQL persistence require backend.</x:v>
      </x:c>
    </x:row>
    <x:row r="87" ht="60" customHeight="1">
      <x:c r="A87" s="9" t="str">
        <x:v>AFC-08</x:v>
      </x:c>
      <x:c r="B87" s="9" t="str">
        <x:v>AFC records and absence</x:v>
      </x:c>
      <x:c r="C87" s="9" t="str">
        <x:v>Authorized reviewer</x:v>
      </x:c>
      <x:c r="D87" s="9" t="str">
        <x:v>D/B</x:v>
      </x:c>
      <x:c r="E87" s="9" t="str">
        <x:v>Synthetic fixtures; selected mode and SHA recorded; required role available.</x:v>
      </x:c>
      <x:c r="F87" s="9" t="str">
        <x:v>Approve/reject/return a synthetic AFC request; request approved artifact where enabled.</x:v>
      </x:c>
      <x:c r="G87" s="9" t="str">
        <x:v>State, signer/actor, reason and PDF agree; unauthorized/stale actions fail; disabled artifact gates stay disabled.</x:v>
      </x:c>
      <x:c r="H87" s="9" t="str">
        <x:v>Not run</x:v>
      </x:c>
      <x:c r="I87" s="12" t="str"/>
      <x:c r="J87" s="12" t="str"/>
      <x:c r="K87" s="12" t="str"/>
      <x:c r="L87" s="13"/>
      <x:c r="M87" s="9" t="str">
        <x:v>Do not bypass current gates for a pass.</x:v>
      </x:c>
    </x:row>
    <x:row r="88" ht="60" customHeight="1">
      <x:c r="A88" s="9" t="str">
        <x:v>AFC-09</x:v>
      </x:c>
      <x:c r="B88" s="9" t="str">
        <x:v>AFC records and absence</x:v>
      </x:c>
      <x:c r="C88" s="9" t="str">
        <x:v>Administrator</x:v>
      </x:c>
      <x:c r="D88" s="9" t="str">
        <x:v>D/B</x:v>
      </x:c>
      <x:c r="E88" s="9" t="str">
        <x:v>Synthetic fixtures; selected mode and SHA recorded; required role available.</x:v>
      </x:c>
      <x:c r="F88" s="9" t="str">
        <x:v>Upload an oversized, corrupt, wrong-type or malformed PDF fixture.</x:v>
      </x:c>
      <x:c r="G88" s="9" t="str">
        <x:v>Upload rejects clearly and safely; no secret/source text is exposed and no partial archive remains.</x:v>
      </x:c>
      <x:c r="H88" s="9" t="str">
        <x:v>Not run</x:v>
      </x:c>
      <x:c r="I88" s="12" t="str"/>
      <x:c r="J88" s="12" t="str"/>
      <x:c r="K88" s="12" t="str"/>
      <x:c r="L88" s="13"/>
      <x:c r="M88" s="9" t="str">
        <x:v>Demo parser/storage shims are not full backend security.</x:v>
      </x:c>
    </x:row>
    <x:row r="89" ht="60" customHeight="1">
      <x:c r="A89" s="9" t="str">
        <x:v>SWAP-01</x:v>
      </x:c>
      <x:c r="B89" s="9" t="str">
        <x:v>SWAP selection and availability</x:v>
      </x:c>
      <x:c r="C89" s="9" t="str">
        <x:v>Faculty / HICC</x:v>
      </x:c>
      <x:c r="D89" s="9" t="str">
        <x:v>D/L/B</x:v>
      </x:c>
      <x:c r="E89" s="9" t="str">
        <x:v>Synthetic fixtures; selected mode and SHA recorded; required role available.</x:v>
      </x:c>
      <x:c r="F89" s="9" t="str">
        <x:v>Initiate replacement from an authorized session and search active faculty by name/area.</x:v>
      </x:c>
      <x:c r="G89" s="9" t="str">
        <x:v>Sanitized candidates include active people without requiring login accounts; immutable candidate keys remain correct.</x:v>
      </x:c>
      <x:c r="H89" s="9" t="str">
        <x:v>Not run</x:v>
      </x:c>
      <x:c r="I89" s="12" t="str"/>
      <x:c r="J89" s="12" t="str"/>
      <x:c r="K89" s="12" t="str"/>
      <x:c r="L89" s="13"/>
      <x:c r="M89" s="9" t="str">
        <x:v>Do not expose other UCIDs/email/HR.</x:v>
      </x:c>
    </x:row>
    <x:row r="90" ht="60" customHeight="1">
      <x:c r="A90" s="9" t="str">
        <x:v>SWAP-02</x:v>
      </x:c>
      <x:c r="B90" s="9" t="str">
        <x:v>SWAP selection and availability</x:v>
      </x:c>
      <x:c r="C90" s="9" t="str">
        <x:v>Faculty</x:v>
      </x:c>
      <x:c r="D90" s="9" t="str">
        <x:v>D/L/B</x:v>
      </x:c>
      <x:c r="E90" s="9" t="str">
        <x:v>Synthetic fixtures; selected mode and SHA recorded; required role available.</x:v>
      </x:c>
      <x:c r="F90" s="9" t="str">
        <x:v>Compare available, AFC-unavailable, timetable-conflict and unknown-time candidates.</x:v>
      </x:c>
      <x:c r="G90" s="9" t="str">
        <x:v>Binary AFC privacy is preserved; allowed timetable reason is clear; uncertain candidate says Check needed.</x:v>
      </x:c>
      <x:c r="H90" s="9" t="str">
        <x:v>Not run</x:v>
      </x:c>
      <x:c r="I90" s="12" t="str"/>
      <x:c r="J90" s="12" t="str"/>
      <x:c r="K90" s="12" t="str"/>
      <x:c r="L90" s="13"/>
      <x:c r="M90" s="9" t="str">
        <x:v>Confirm exact target date/time.</x:v>
      </x:c>
    </x:row>
    <x:row r="91" ht="60" customHeight="1">
      <x:c r="A91" s="9" t="str">
        <x:v>SWAP-03</x:v>
      </x:c>
      <x:c r="B91" s="9" t="str">
        <x:v>SWAP selection and availability</x:v>
      </x:c>
      <x:c r="C91" s="9" t="str">
        <x:v>Faculty / Administrator</x:v>
      </x:c>
      <x:c r="D91" s="9" t="str">
        <x:v>D/L</x:v>
      </x:c>
      <x:c r="E91" s="9" t="str">
        <x:v>Synthetic fixtures; selected mode and SHA recorded; required role available.</x:v>
      </x:c>
      <x:c r="F91" s="9" t="str">
        <x:v>Choose Sessional and Other with and without a note.</x:v>
      </x:c>
      <x:c r="G91" s="9" t="str">
        <x:v>Both categories are valid; blank reason blocks submission; the correct source credit is preserved.</x:v>
      </x:c>
      <x:c r="H91" s="9" t="str">
        <x:v>Not run</x:v>
      </x:c>
      <x:c r="I91" s="12" t="str"/>
      <x:c r="J91" s="12" t="str"/>
      <x:c r="K91" s="12" t="str"/>
      <x:c r="L91" s="13"/>
      <x:c r="M91" s="9" t="str">
        <x:v>No made-up Faculty record for a placeholder.</x:v>
      </x:c>
    </x:row>
    <x:row r="92" ht="60" customHeight="1">
      <x:c r="A92" s="9" t="str">
        <x:v>SWAP-04</x:v>
      </x:c>
      <x:c r="B92" s="9" t="str">
        <x:v>SWAP DOE preview</x:v>
      </x:c>
      <x:c r="C92" s="9" t="str">
        <x:v>Administrator</x:v>
      </x:c>
      <x:c r="D92" s="9" t="str">
        <x:v>D/B</x:v>
      </x:c>
      <x:c r="E92" s="9" t="str">
        <x:v>Synthetic fixtures; selected mode and SHA recorded; required role available.</x:v>
      </x:c>
      <x:c r="F92" s="9" t="str">
        <x:v>Inspect the instructor being removed before and after a proposed SWAP.</x:v>
      </x:c>
      <x:c r="G92" s="9" t="str">
        <x:v>Current DOE, course/session DOE credit and projected DOE after SWAP are shown with clear units/status.</x:v>
      </x:c>
      <x:c r="H92" s="9" t="str">
        <x:v>Not run</x:v>
      </x:c>
      <x:c r="I92" s="12" t="str"/>
      <x:c r="J92" s="12" t="str"/>
      <x:c r="K92" s="12" t="str"/>
      <x:c r="L92" s="13"/>
      <x:c r="M92" s="9" t="str">
        <x:v>Current port accuracy must be checked against Beta contract.</x:v>
      </x:c>
    </x:row>
    <x:row r="93" ht="60" customHeight="1">
      <x:c r="A93" s="9" t="str">
        <x:v>SWAP-05</x:v>
      </x:c>
      <x:c r="B93" s="9" t="str">
        <x:v>SWAP DOE preview</x:v>
      </x:c>
      <x:c r="C93" s="9" t="str">
        <x:v>Administrator</x:v>
      </x:c>
      <x:c r="D93" s="9" t="str">
        <x:v>D/B</x:v>
      </x:c>
      <x:c r="E93" s="9" t="str">
        <x:v>Synthetic fixtures; selected mode and SHA recorded; required role available.</x:v>
      </x:c>
      <x:c r="F93" s="9" t="str">
        <x:v>Compare replacement candidates and preview the selected one.</x:v>
      </x:c>
      <x:c r="G93" s="9" t="str">
        <x:v>Availability/reason, contract, current, remaining and projected DOE use authoritative consistent inputs.</x:v>
      </x:c>
      <x:c r="H93" s="9" t="str">
        <x:v>Not run</x:v>
      </x:c>
      <x:c r="I93" s="12" t="str"/>
      <x:c r="J93" s="12" t="str"/>
      <x:c r="K93" s="12" t="str"/>
      <x:c r="L93" s="13"/>
      <x:c r="M93" s="9" t="str">
        <x:v>Only backend can certify authoritative calculation.</x:v>
      </x:c>
    </x:row>
    <x:row r="94" ht="60" customHeight="1">
      <x:c r="A94" s="9" t="str">
        <x:v>SWAP-06</x:v>
      </x:c>
      <x:c r="B94" s="9" t="str">
        <x:v>SWAP DOE preview</x:v>
      </x:c>
      <x:c r="C94" s="9" t="str">
        <x:v>Faculty / HICC / VISC</x:v>
      </x:c>
      <x:c r="D94" s="9" t="str">
        <x:v>L/B</x:v>
      </x:c>
      <x:c r="E94" s="9" t="str">
        <x:v>Synthetic fixtures; selected mode and SHA recorded; required role available.</x:v>
      </x:c>
      <x:c r="F94" s="9" t="str">
        <x:v>Inspect candidate payloads and try the privileged DOE preview directly.</x:v>
      </x:c>
      <x:c r="G94" s="9" t="str">
        <x:v>No private candidate DOE/contract/HR is delivered to unauthorized users.</x:v>
      </x:c>
      <x:c r="H94" s="9" t="str">
        <x:v>Not run</x:v>
      </x:c>
      <x:c r="I94" s="12" t="str"/>
      <x:c r="J94" s="12" t="str"/>
      <x:c r="K94" s="12" t="str"/>
      <x:c r="L94" s="13"/>
      <x:c r="M94" s="9" t="str">
        <x:v>UI hiding alone is insufficient.</x:v>
      </x:c>
    </x:row>
    <x:row r="95" ht="60" customHeight="1">
      <x:c r="A95" s="9" t="str">
        <x:v>SWAP-07</x:v>
      </x:c>
      <x:c r="B95" s="9" t="str">
        <x:v>SWAP selection and availability</x:v>
      </x:c>
      <x:c r="C95" s="9" t="str">
        <x:v>Requester</x:v>
      </x:c>
      <x:c r="D95" s="9" t="str">
        <x:v>D/B</x:v>
      </x:c>
      <x:c r="E95" s="9" t="str">
        <x:v>Synthetic fixtures; selected mode and SHA recorded; required role available.</x:v>
      </x:c>
      <x:c r="F95" s="9" t="str">
        <x:v>Submit, cancel and retry one synthetic replacement intent.</x:v>
      </x:c>
      <x:c r="G95" s="9" t="str">
        <x:v>Status and history are correct; retry confirms the same intent rather than duplicating a request/apply.</x:v>
      </x:c>
      <x:c r="H95" s="9" t="str">
        <x:v>Not run</x:v>
      </x:c>
      <x:c r="I95" s="12" t="str"/>
      <x:c r="J95" s="12" t="str"/>
      <x:c r="K95" s="12" t="str"/>
      <x:c r="L95" s="13"/>
      <x:c r="M95" s="9" t="str">
        <x:v>Backend idempotency acceptance required.</x:v>
      </x:c>
    </x:row>
    <x:row r="96" ht="60" customHeight="1">
      <x:c r="A96" s="9" t="str">
        <x:v>APR-01</x:v>
      </x:c>
      <x:c r="B96" s="9" t="str">
        <x:v>Approval workflow</x:v>
      </x:c>
      <x:c r="C96" s="9" t="str">
        <x:v>Course Coordinator / Instructor</x:v>
      </x:c>
      <x:c r="D96" s="9" t="str">
        <x:v>D/L</x:v>
      </x:c>
      <x:c r="E96" s="9" t="str">
        <x:v>Synthetic fixtures; selected mode and SHA recorded; required role available.</x:v>
      </x:c>
      <x:c r="F96" s="9" t="str">
        <x:v>Open instructions and choose Topic Change, SWAP or Session Type Change.</x:v>
      </x:c>
      <x:c r="G96" s="9" t="str">
        <x:v>Correct entry choices and guidance appear for the role; unsupported stages are explicit gaps.</x:v>
      </x:c>
      <x:c r="H96" s="9" t="str">
        <x:v>Not run</x:v>
      </x:c>
      <x:c r="I96" s="12" t="str"/>
      <x:c r="J96" s="12" t="str"/>
      <x:c r="K96" s="12" t="str"/>
      <x:c r="L96" s="13"/>
      <x:c r="M96" s="9" t="str">
        <x:v>Legacy and ported workflow variants differ.</x:v>
      </x:c>
    </x:row>
    <x:row r="97" ht="60" customHeight="1">
      <x:c r="A97" s="9" t="str">
        <x:v>APR-02</x:v>
      </x:c>
      <x:c r="B97" s="9" t="str">
        <x:v>Approval workflow</x:v>
      </x:c>
      <x:c r="C97" s="9" t="str">
        <x:v>Authorized requester</x:v>
      </x:c>
      <x:c r="D97" s="9" t="str">
        <x:v>D/L/B</x:v>
      </x:c>
      <x:c r="E97" s="9" t="str">
        <x:v>Synthetic fixtures; selected mode and SHA recorded; required role available.</x:v>
      </x:c>
      <x:c r="F97" s="9" t="str">
        <x:v>Submit a topic change, a replacement and a session-type change separately.</x:v>
      </x:c>
      <x:c r="G97" s="9" t="str">
        <x:v>Only changed fields determine required approvals; live timetable remains unchanged while pending.</x:v>
      </x:c>
      <x:c r="H97" s="9" t="str">
        <x:v>Not run</x:v>
      </x:c>
      <x:c r="I97" s="12" t="str"/>
      <x:c r="J97" s="12" t="str"/>
      <x:c r="K97" s="12" t="str"/>
      <x:c r="L97" s="13"/>
      <x:c r="M97" s="9" t="str">
        <x:v>Record actual office sequence, not renamed labels.</x:v>
      </x:c>
    </x:row>
    <x:row r="98" ht="60" customHeight="1">
      <x:c r="A98" s="9" t="str">
        <x:v>APR-03</x:v>
      </x:c>
      <x:c r="B98" s="9" t="str">
        <x:v>Approval workflow</x:v>
      </x:c>
      <x:c r="C98" s="9" t="str">
        <x:v>Authorized requester</x:v>
      </x:c>
      <x:c r="D98" s="9" t="str">
        <x:v>D/B</x:v>
      </x:c>
      <x:c r="E98" s="9" t="str">
        <x:v>Synthetic fixtures; selected mode and SHA recorded; required role available.</x:v>
      </x:c>
      <x:c r="F98" s="9" t="str">
        <x:v>Include multiple sessions and a comment in one request where supported.</x:v>
      </x:c>
      <x:c r="G98" s="9" t="str">
        <x:v>All intended sessions are visible and scoped; unsupported multi-session flow is Blocked, not silently split.</x:v>
      </x:c>
      <x:c r="H98" s="9" t="str">
        <x:v>Not run</x:v>
      </x:c>
      <x:c r="I98" s="12" t="str"/>
      <x:c r="J98" s="12" t="str"/>
      <x:c r="K98" s="12" t="str"/>
      <x:c r="L98" s="13"/>
      <x:c r="M98" s="9" t="str">
        <x:v>Beta parity requirement; inspect current adapter.</x:v>
      </x:c>
    </x:row>
    <x:row r="99" ht="60" customHeight="1">
      <x:c r="A99" s="9" t="str">
        <x:v>APR-04</x:v>
      </x:c>
      <x:c r="B99" s="9" t="str">
        <x:v>Approval workflow</x:v>
      </x:c>
      <x:c r="C99" s="9" t="str">
        <x:v>ADFA / DVM / ADC / LAB</x:v>
      </x:c>
      <x:c r="D99" s="9" t="str">
        <x:v>L/B</x:v>
      </x:c>
      <x:c r="E99" s="9" t="str">
        <x:v>Synthetic fixtures; selected mode and SHA recorded; required role available.</x:v>
      </x:c>
      <x:c r="F99" s="9" t="str">
        <x:v>Execute the required staged approvals with separate office fixtures.</x:v>
      </x:c>
      <x:c r="G99" s="9" t="str">
        <x:v>Each office sees/edits only its scope; required ADFA-to-DVM sequence is honored where specified; no self-approval bypass.</x:v>
      </x:c>
      <x:c r="H99" s="9" t="str">
        <x:v>Not run</x:v>
      </x:c>
      <x:c r="I99" s="12" t="str"/>
      <x:c r="J99" s="12" t="str"/>
      <x:c r="K99" s="12" t="str"/>
      <x:c r="L99" s="13"/>
      <x:c r="M99" s="9" t="str">
        <x:v>DVM stage must exist; legacy ADC/LAB routing is not a substitute.</x:v>
      </x:c>
    </x:row>
    <x:row r="100" ht="60" customHeight="1">
      <x:c r="A100" s="9" t="str">
        <x:v>APR-05</x:v>
      </x:c>
      <x:c r="B100" s="9" t="str">
        <x:v>Approval workflow</x:v>
      </x:c>
      <x:c r="C100" s="9" t="str">
        <x:v>Reviewer / requester</x:v>
      </x:c>
      <x:c r="D100" s="9" t="str">
        <x:v>D/L/B</x:v>
      </x:c>
      <x:c r="E100" s="9" t="str">
        <x:v>Synthetic fixtures; selected mode and SHA recorded; required role available.</x:v>
      </x:c>
      <x:c r="F100" s="9" t="str">
        <x:v>Push back with reason, resubmit only returned fields, reject and cancel separate requests.</x:v>
      </x:c>
      <x:c r="G100" s="9" t="str">
        <x:v>State and editable fields follow the reviewed revision model; prior decisions invalidate when required.</x:v>
      </x:c>
      <x:c r="H100" s="9" t="str">
        <x:v>Not run</x:v>
      </x:c>
      <x:c r="I100" s="12" t="str"/>
      <x:c r="J100" s="12" t="str"/>
      <x:c r="K100" s="12" t="str"/>
      <x:c r="L100" s="13"/>
      <x:c r="M100" s="9" t="str">
        <x:v>Check old-revision controls and actor history.</x:v>
      </x:c>
    </x:row>
    <x:row r="101" ht="60" customHeight="1">
      <x:c r="A101" s="9" t="str">
        <x:v>APR-06</x:v>
      </x:c>
      <x:c r="B101" s="9" t="str">
        <x:v>Approval workflow</x:v>
      </x:c>
      <x:c r="C101" s="9" t="str">
        <x:v>Reviewer</x:v>
      </x:c>
      <x:c r="D101" s="9" t="str">
        <x:v>B</x:v>
      </x:c>
      <x:c r="E101" s="9" t="str">
        <x:v>Synthetic fixtures; selected mode and SHA recorded; required role available.</x:v>
      </x:c>
      <x:c r="F101" s="9" t="str">
        <x:v>Open a request in two tabs; decide twice and change the session before final approval.</x:v>
      </x:c>
      <x:c r="G101" s="9" t="str">
        <x:v>Only one valid decision/apply occurs; stale versions or changed availability stop the apply.</x:v>
      </x:c>
      <x:c r="H101" s="9" t="str">
        <x:v>Not run</x:v>
      </x:c>
      <x:c r="I101" s="12" t="str"/>
      <x:c r="J101" s="12" t="str"/>
      <x:c r="K101" s="12" t="str"/>
      <x:c r="L101" s="13"/>
      <x:c r="M101" s="9" t="str">
        <x:v>Real concurrency/atomicity cannot be certified by Demo.</x:v>
      </x:c>
    </x:row>
    <x:row r="102" ht="60" customHeight="1">
      <x:c r="A102" s="9" t="str">
        <x:v>APR-07</x:v>
      </x:c>
      <x:c r="B102" s="9" t="str">
        <x:v>Approval workflow</x:v>
      </x:c>
      <x:c r="C102" s="9" t="str">
        <x:v>Final approver</x:v>
      </x:c>
      <x:c r="D102" s="9" t="str">
        <x:v>D/L/B</x:v>
      </x:c>
      <x:c r="E102" s="9" t="str">
        <x:v>Synthetic fixtures; selected mode and SHA recorded; required role available.</x:v>
      </x:c>
      <x:c r="F102" s="9" t="str">
        <x:v>Complete the final required approval and inspect Calendar, DOE and history.</x:v>
      </x:c>
      <x:c r="G102" s="9" t="str">
        <x:v>Exactly the approved changes become live once; actor, before/after and calculation effects agree.</x:v>
      </x:c>
      <x:c r="H102" s="9" t="str">
        <x:v>Not run</x:v>
      </x:c>
      <x:c r="I102" s="12" t="str"/>
      <x:c r="J102" s="12" t="str"/>
      <x:c r="K102" s="12" t="str"/>
      <x:c r="L102" s="13"/>
      <x:c r="M102" s="9" t="str">
        <x:v>Use disposable backend for authoritative evidence.</x:v>
      </x:c>
    </x:row>
    <x:row r="103" ht="60" customHeight="1">
      <x:c r="A103" s="9" t="str">
        <x:v>APR-08</x:v>
      </x:c>
      <x:c r="B103" s="9" t="str">
        <x:v>Approval workflow</x:v>
      </x:c>
      <x:c r="C103" s="9" t="str">
        <x:v>Program Office / Administrator</x:v>
      </x:c>
      <x:c r="D103" s="9" t="str">
        <x:v>D/B</x:v>
      </x:c>
      <x:c r="E103" s="9" t="str">
        <x:v>Synthetic fixtures; selected mode and SHA recorded; required role available.</x:v>
      </x:c>
      <x:c r="F103" s="9" t="str">
        <x:v>Complete and reopen the administrative checklist for invite, DVM hub and D2L updates.</x:v>
      </x:c>
      <x:c r="G103" s="9" t="str">
        <x:v>Checklist is persistent, auditable and revisitable without falsely asserting external systems updated.</x:v>
      </x:c>
      <x:c r="H103" s="9" t="str">
        <x:v>Not run</x:v>
      </x:c>
      <x:c r="I103" s="12" t="str"/>
      <x:c r="J103" s="12" t="str"/>
      <x:c r="K103" s="12" t="str"/>
      <x:c r="L103" s="13"/>
      <x:c r="M103" s="9" t="str">
        <x:v>External integration needs separate evidence.</x:v>
      </x:c>
    </x:row>
    <x:row r="104" ht="60" customHeight="1">
      <x:c r="A104" s="9" t="str">
        <x:v>APR-09</x:v>
      </x:c>
      <x:c r="B104" s="9" t="str">
        <x:v>Approval workflow</x:v>
      </x:c>
      <x:c r="C104" s="9" t="str">
        <x:v>Requester / office</x:v>
      </x:c>
      <x:c r="D104" s="9" t="str">
        <x:v>B</x:v>
      </x:c>
      <x:c r="E104" s="9" t="str">
        <x:v>Synthetic fixtures; selected mode and SHA recorded; required role available.</x:v>
      </x:c>
      <x:c r="F104" s="9" t="str">
        <x:v>Trigger each configured submission/decision notification and inspect recipients/links.</x:v>
      </x:c>
      <x:c r="G104" s="9" t="str">
        <x:v>Correct CC/department/office audience receives the notice once; private request fields stay scoped.</x:v>
      </x:c>
      <x:c r="H104" s="9" t="str">
        <x:v>Not run</x:v>
      </x:c>
      <x:c r="I104" s="12" t="str"/>
      <x:c r="J104" s="12" t="str"/>
      <x:c r="K104" s="12" t="str"/>
      <x:c r="L104" s="13"/>
      <x:c r="M104" s="9" t="str">
        <x:v>Real email/delivery/retry is an integration gate.</x:v>
      </x:c>
    </x:row>
    <x:row r="105" ht="60" customHeight="1">
      <x:c r="A105" s="9" t="str">
        <x:v>APR-10</x:v>
      </x:c>
      <x:c r="B105" s="9" t="str">
        <x:v>Approval workflow</x:v>
      </x:c>
      <x:c r="C105" s="9" t="str">
        <x:v>Unauthorized role</x:v>
      </x:c>
      <x:c r="D105" s="9" t="str">
        <x:v>L/B</x:v>
      </x:c>
      <x:c r="E105" s="9" t="str">
        <x:v>Synthetic fixtures; selected mode and SHA recorded; required role available.</x:v>
      </x:c>
      <x:c r="F105" s="9" t="str">
        <x:v>Open private request details, another office's decision and direct final-apply endpoints.</x:v>
      </x:c>
      <x:c r="G105" s="9" t="str">
        <x:v>Authority refuses; sanitized public state does not expose private candidates or decision fields.</x:v>
      </x:c>
      <x:c r="H105" s="9" t="str">
        <x:v>Not run</x:v>
      </x:c>
      <x:c r="I105" s="12" t="str"/>
      <x:c r="J105" s="12" t="str"/>
      <x:c r="K105" s="12" t="str"/>
      <x:c r="L105" s="13"/>
      <x:c r="M105" s="9" t="str">
        <x:v>Real role identities required.</x:v>
      </x:c>
    </x:row>
    <x:row r="106" ht="60" customHeight="1">
      <x:c r="A106" s="9" t="str">
        <x:v>TA-01</x:v>
      </x:c>
      <x:c r="B106" s="9" t="str">
        <x:v>Teaching assignment workflow</x:v>
      </x:c>
      <x:c r="C106" s="9" t="str">
        <x:v>HICC / coordinator</x:v>
      </x:c>
      <x:c r="D106" s="9" t="str">
        <x:v>D/B</x:v>
      </x:c>
      <x:c r="E106" s="9" t="str">
        <x:v>Synthetic fixtures; selected mode and SHA recorded; required role available.</x:v>
      </x:c>
      <x:c r="F106" s="9" t="str">
        <x:v>Open the work queue with owned, unowned, empty and mixed-scope packages.</x:v>
      </x:c>
      <x:c r="G106" s="9" t="str">
        <x:v>Only authorized packages/actions appear; zero packages is truthful, not filled with invented ownership.</x:v>
      </x:c>
      <x:c r="H106" s="9" t="str">
        <x:v>Not run</x:v>
      </x:c>
      <x:c r="I106" s="12" t="str"/>
      <x:c r="J106" s="12" t="str"/>
      <x:c r="K106" s="12" t="str"/>
      <x:c r="L106" s="13"/>
      <x:c r="M106" s="9" t="str">
        <x:v>Dated multi-role authority is a PR148 gap.</x:v>
      </x:c>
    </x:row>
    <x:row r="107" ht="60" customHeight="1">
      <x:c r="A107" s="9" t="str">
        <x:v>TA-02</x:v>
      </x:c>
      <x:c r="B107" s="9" t="str">
        <x:v>Teaching assignment workflow</x:v>
      </x:c>
      <x:c r="C107" s="9" t="str">
        <x:v>HICC / coordinator</x:v>
      </x:c>
      <x:c r="D107" s="9" t="str">
        <x:v>D/B</x:v>
      </x:c>
      <x:c r="E107" s="9" t="str">
        <x:v>Synthetic fixtures; selected mode and SHA recorded; required role available.</x:v>
      </x:c>
      <x:c r="F107" s="9" t="str">
        <x:v>Create/edit a draft, search faculty, select teaching roles and inspect completeness warnings.</x:v>
      </x:c>
      <x:c r="G107" s="9" t="str">
        <x:v>Stable person IDs and valid role choices are retained; missing/ambiguous assignments are explicit.</x:v>
      </x:c>
      <x:c r="H107" s="9" t="str">
        <x:v>Not run</x:v>
      </x:c>
      <x:c r="I107" s="12" t="str"/>
      <x:c r="J107" s="12" t="str"/>
      <x:c r="K107" s="12" t="str"/>
      <x:c r="L107" s="13"/>
      <x:c r="M107" s="9" t="str">
        <x:v>Preserve DOE policy inputs.</x:v>
      </x:c>
    </x:row>
    <x:row r="108" ht="60" customHeight="1">
      <x:c r="A108" s="9" t="str">
        <x:v>TA-03</x:v>
      </x:c>
      <x:c r="B108" s="9" t="str">
        <x:v>Teaching assignment workflow</x:v>
      </x:c>
      <x:c r="C108" s="9" t="str">
        <x:v>VISC / office reviewer</x:v>
      </x:c>
      <x:c r="D108" s="9" t="str">
        <x:v>D/B</x:v>
      </x:c>
      <x:c r="E108" s="9" t="str">
        <x:v>Synthetic fixtures; selected mode and SHA recorded; required role available.</x:v>
      </x:c>
      <x:c r="F108" s="9" t="str">
        <x:v>Review, return, finalize and publish using the designated separate package roles.</x:v>
      </x:c>
      <x:c r="G108" s="9" t="str">
        <x:v>Stage and ownership checks hold; no self-review or cross-scope shortcut; only final approved revision publishes.</x:v>
      </x:c>
      <x:c r="H108" s="9" t="str">
        <x:v>Not run</x:v>
      </x:c>
      <x:c r="I108" s="12" t="str"/>
      <x:c r="J108" s="12" t="str"/>
      <x:c r="K108" s="12" t="str"/>
      <x:c r="L108" s="13"/>
      <x:c r="M108" s="9" t="str">
        <x:v>Backend stage/transaction proof required.</x:v>
      </x:c>
    </x:row>
    <x:row r="109" ht="60" customHeight="1">
      <x:c r="A109" s="9" t="str">
        <x:v>TA-04</x:v>
      </x:c>
      <x:c r="B109" s="9" t="str">
        <x:v>Teaching assignment workflow</x:v>
      </x:c>
      <x:c r="C109" s="9" t="str">
        <x:v>Reviewer</x:v>
      </x:c>
      <x:c r="D109" s="9" t="str">
        <x:v>B</x:v>
      </x:c>
      <x:c r="E109" s="9" t="str">
        <x:v>Synthetic fixtures; selected mode and SHA recorded; required role available.</x:v>
      </x:c>
      <x:c r="F109" s="9" t="str">
        <x:v>Review an empty assignment, add a teacher, remove the teacher and attempt to reuse the old review.</x:v>
      </x:c>
      <x:c r="G109" s="9" t="str">
        <x:v>Old review becomes invalid even when values return to empty; Undo also invalidates it.</x:v>
      </x:c>
      <x:c r="H109" s="9" t="str">
        <x:v>Not run</x:v>
      </x:c>
      <x:c r="I109" s="12" t="str"/>
      <x:c r="J109" s="12" t="str"/>
      <x:c r="K109" s="12" t="str"/>
      <x:c r="L109" s="13"/>
      <x:c r="M109" s="9" t="str">
        <x:v>Requires assignment-version/ABA backend evidence.</x:v>
      </x:c>
    </x:row>
    <x:row r="110" ht="60" customHeight="1">
      <x:c r="A110" s="9" t="str">
        <x:v>TA-05</x:v>
      </x:c>
      <x:c r="B110" s="9" t="str">
        <x:v>Teaching assignment workflow</x:v>
      </x:c>
      <x:c r="C110" s="9" t="str">
        <x:v>Coordinator / reviewer</x:v>
      </x:c>
      <x:c r="D110" s="9" t="str">
        <x:v>D/B</x:v>
      </x:c>
      <x:c r="E110" s="9" t="str">
        <x:v>Synthetic fixtures; selected mode and SHA recorded; required role available.</x:v>
      </x:c>
      <x:c r="F110" s="9" t="str">
        <x:v>Change academic year/scope during loading and open stale approval controls.</x:v>
      </x:c>
      <x:c r="G110" s="9" t="str">
        <x:v>Prior scope data clears, late responses are ignored and unauthorized actions remain unavailable.</x:v>
      </x:c>
      <x:c r="H110" s="9" t="str">
        <x:v>Not run</x:v>
      </x:c>
      <x:c r="I110" s="12" t="str"/>
      <x:c r="J110" s="12" t="str"/>
      <x:c r="K110" s="12" t="str"/>
      <x:c r="L110" s="13"/>
      <x:c r="M110" s="9" t="str">
        <x:v>Real authority invalidation requires backend.</x:v>
      </x:c>
    </x:row>
    <x:row r="111" ht="60" customHeight="1">
      <x:c r="A111" s="9" t="str">
        <x:v>HIS-01</x:v>
      </x:c>
      <x:c r="B111" s="9" t="str">
        <x:v>History and exports</x:v>
      </x:c>
      <x:c r="C111" s="9" t="str">
        <x:v>Administrator / Faculty</x:v>
      </x:c>
      <x:c r="D111" s="9" t="str">
        <x:v>D/L</x:v>
      </x:c>
      <x:c r="E111" s="9" t="str">
        <x:v>Synthetic fixtures; selected mode and SHA recorded; required role available.</x:v>
      </x:c>
      <x:c r="F111" s="9" t="str">
        <x:v>Open My Change History, visible timetable Changes and Dashboard History.</x:v>
      </x:c>
      <x:c r="G111" s="9" t="str">
        <x:v>Correct entry points exist; role, subject and selected academic year scope each result.</x:v>
      </x:c>
      <x:c r="H111" s="9" t="str">
        <x:v>Not run</x:v>
      </x:c>
      <x:c r="I111" s="12" t="str"/>
      <x:c r="J111" s="12" t="str"/>
      <x:c r="K111" s="12" t="str"/>
      <x:c r="L111" s="13"/>
      <x:c r="M111" s="9" t="str">
        <x:v>Faculty self-history differs from all-user admin history.</x:v>
      </x:c>
    </x:row>
    <x:row r="112" ht="60" customHeight="1">
      <x:c r="A112" s="9" t="str">
        <x:v>HIS-02</x:v>
      </x:c>
      <x:c r="B112" s="9" t="str">
        <x:v>History and exports</x:v>
      </x:c>
      <x:c r="C112" s="9" t="str">
        <x:v>Administrator</x:v>
      </x:c>
      <x:c r="D112" s="9" t="str">
        <x:v>D/B</x:v>
      </x:c>
      <x:c r="E112" s="9" t="str">
        <x:v>Synthetic fixtures; selected mode and SHA recorded; required role available.</x:v>
      </x:c>
      <x:c r="F112" s="9" t="str">
        <x:v>Create lookup, appointment, AFC, DOE-rule, session and assignment fixture changes.</x:v>
      </x:c>
      <x:c r="G112" s="9" t="str">
        <x:v>History covers all domains with time, type/domain, subject/session, before start/end, after value and actor; missing values show N/A.</x:v>
      </x:c>
      <x:c r="H112" s="9" t="str">
        <x:v>Not run</x:v>
      </x:c>
      <x:c r="I112" s="12" t="str"/>
      <x:c r="J112" s="12" t="str"/>
      <x:c r="K112" s="12" t="str"/>
      <x:c r="L112" s="13"/>
      <x:c r="M112" s="9" t="str">
        <x:v>Durable complete audit requires backend.</x:v>
      </x:c>
    </x:row>
    <x:row r="113" ht="60" customHeight="1">
      <x:c r="A113" s="9" t="str">
        <x:v>HIS-03</x:v>
      </x:c>
      <x:c r="B113" s="9" t="str">
        <x:v>History and exports</x:v>
      </x:c>
      <x:c r="C113" s="9" t="str">
        <x:v>All authorized</x:v>
      </x:c>
      <x:c r="D113" s="9" t="str">
        <x:v>D/L</x:v>
      </x:c>
      <x:c r="E113" s="9" t="str">
        <x:v>Synthetic fixtures; selected mode and SHA recorded; required role available.</x:v>
      </x:c>
      <x:c r="F113" s="9" t="str">
        <x:v>Search arbitrary keywords across loaded history, filter domain/type/year, then load older matches.</x:v>
      </x:c>
      <x:c r="G113" s="9" t="str">
        <x:v>Compact rows support scanning many records; counts and search scope are clear and older matches can be reached.</x:v>
      </x:c>
      <x:c r="H113" s="9" t="str">
        <x:v>Not run</x:v>
      </x:c>
      <x:c r="I113" s="12" t="str"/>
      <x:c r="J113" s="12" t="str"/>
      <x:c r="K113" s="12" t="str"/>
      <x:c r="L113" s="13"/>
      <x:c r="M113" s="9" t="str">
        <x:v>Do not claim an unloaded page has been searched.</x:v>
      </x:c>
    </x:row>
    <x:row r="114" ht="60" customHeight="1">
      <x:c r="A114" s="9" t="str">
        <x:v>HIS-04</x:v>
      </x:c>
      <x:c r="B114" s="9" t="str">
        <x:v>History and exports</x:v>
      </x:c>
      <x:c r="C114" s="9" t="str">
        <x:v>All authorized</x:v>
      </x:c>
      <x:c r="D114" s="9" t="str">
        <x:v>D/L/B</x:v>
      </x:c>
      <x:c r="E114" s="9" t="str">
        <x:v>Synthetic fixtures; selected mode and SHA recorded; required role available.</x:v>
      </x:c>
      <x:c r="F114" s="9" t="str">
        <x:v>Export the filtered history, including long names and spreadsheet-like text.</x:v>
      </x:c>
      <x:c r="G114" s="9" t="str">
        <x:v>Only authorized selected-year rows are downloaded with stable headers, ordering and safe escaping.</x:v>
      </x:c>
      <x:c r="H114" s="9" t="str">
        <x:v>Not run</x:v>
      </x:c>
      <x:c r="I114" s="12" t="str"/>
      <x:c r="J114" s="12" t="str"/>
      <x:c r="K114" s="12" t="str"/>
      <x:c r="L114" s="13"/>
      <x:c r="M114" s="9" t="str">
        <x:v>Compare exported rows with preview/counts.</x:v>
      </x:c>
    </x:row>
    <x:row r="115" ht="60" customHeight="1">
      <x:c r="A115" s="9" t="str">
        <x:v>HIS-05</x:v>
      </x:c>
      <x:c r="B115" s="9" t="str">
        <x:v>History and exports</x:v>
      </x:c>
      <x:c r="C115" s="9" t="str">
        <x:v>Faculty / office</x:v>
      </x:c>
      <x:c r="D115" s="9" t="str">
        <x:v>L/B</x:v>
      </x:c>
      <x:c r="E115" s="9" t="str">
        <x:v>Synthetic fixtures; selected mode and SHA recorded; required role available.</x:v>
      </x:c>
      <x:c r="F115" s="9" t="str">
        <x:v>Query another faculty identity/year/source directly and inspect response fields.</x:v>
      </x:c>
      <x:c r="G115" s="9" t="str">
        <x:v>Unauthorized history and confidential before/after values are denied or appropriately sanitized.</x:v>
      </x:c>
      <x:c r="H115" s="9" t="str">
        <x:v>Not run</x:v>
      </x:c>
      <x:c r="I115" s="12" t="str"/>
      <x:c r="J115" s="12" t="str"/>
      <x:c r="K115" s="12" t="str"/>
      <x:c r="L115" s="13"/>
      <x:c r="M115" s="9" t="str">
        <x:v>Not just a hidden tab.</x:v>
      </x:c>
    </x:row>
    <x:row r="116" ht="60" customHeight="1">
      <x:c r="A116" s="9" t="str">
        <x:v>RPT-01</x:v>
      </x:c>
      <x:c r="B116" s="9" t="str">
        <x:v>Custom reports</x:v>
      </x:c>
      <x:c r="C116" s="9" t="str">
        <x:v>Owner / Administrator</x:v>
      </x:c>
      <x:c r="D116" s="9" t="str">
        <x:v>D</x:v>
      </x:c>
      <x:c r="E116" s="9" t="str">
        <x:v>Synthetic fixtures; selected mode and SHA recorded; required role available.</x:v>
      </x:c>
      <x:c r="F116" s="9" t="str">
        <x:v>Open Reports and select available data sources and columns using filters.</x:v>
      </x:c>
      <x:c r="G116" s="9" t="str">
        <x:v>Each chosen source/field is visible and clearly labeled; unselected fields do not appear.</x:v>
      </x:c>
      <x:c r="H116" s="9" t="str">
        <x:v>Not run</x:v>
      </x:c>
      <x:c r="I116" s="12" t="str"/>
      <x:c r="J116" s="12" t="str"/>
      <x:c r="K116" s="12" t="str"/>
      <x:c r="L116" s="13"/>
      <x:c r="M116" s="9" t="str">
        <x:v>Reports are admin-only in ported API.</x:v>
      </x:c>
    </x:row>
    <x:row r="117" ht="60" customHeight="1">
      <x:c r="A117" s="9" t="str">
        <x:v>RPT-02</x:v>
      </x:c>
      <x:c r="B117" s="9" t="str">
        <x:v>Custom reports</x:v>
      </x:c>
      <x:c r="C117" s="9" t="str">
        <x:v>Owner / Administrator</x:v>
      </x:c>
      <x:c r="D117" s="9" t="str">
        <x:v>D/B</x:v>
      </x:c>
      <x:c r="E117" s="9" t="str">
        <x:v>Synthetic fixtures; selected mode and SHA recorded; required role available.</x:v>
      </x:c>
      <x:c r="F117" s="9" t="str">
        <x:v>Combine faculty, sessions, roles, AFC, trainees, DOE and other-work sources where offered.</x:v>
      </x:c>
      <x:c r="G117" s="9" t="str">
        <x:v>Preview joins/grain avoid duplication; missing values, counts and selected academic year remain clear.</x:v>
      </x:c>
      <x:c r="H117" s="9" t="str">
        <x:v>Not run</x:v>
      </x:c>
      <x:c r="I117" s="12" t="str"/>
      <x:c r="J117" s="12" t="str"/>
      <x:c r="K117" s="12" t="str"/>
      <x:c r="L117" s="13"/>
      <x:c r="M117" s="9" t="str">
        <x:v>Use independent expected fixture totals.</x:v>
      </x:c>
    </x:row>
    <x:row r="118" ht="60" customHeight="1">
      <x:c r="A118" s="9" t="str">
        <x:v>RPT-03</x:v>
      </x:c>
      <x:c r="B118" s="9" t="str">
        <x:v>Custom reports</x:v>
      </x:c>
      <x:c r="C118" s="9" t="str">
        <x:v>Owner / Administrator</x:v>
      </x:c>
      <x:c r="D118" s="9" t="str">
        <x:v>D/B</x:v>
      </x:c>
      <x:c r="E118" s="9" t="str">
        <x:v>Synthetic fixtures; selected mode and SHA recorded; required role available.</x:v>
      </x:c>
      <x:c r="F118" s="9" t="str">
        <x:v>Select history as an independent report source, then filter current-record sources.</x:v>
      </x:c>
      <x:c r="G118" s="9" t="str">
        <x:v>History remains separate from current state; time/year semantics are not mixed silently.</x:v>
      </x:c>
      <x:c r="H118" s="9" t="str">
        <x:v>Not run</x:v>
      </x:c>
      <x:c r="I118" s="12" t="str"/>
      <x:c r="J118" s="12" t="str"/>
      <x:c r="K118" s="12" t="str"/>
      <x:c r="L118" s="13"/>
      <x:c r="M118" s="9" t="str">
        <x:v>Selected-year current records are the default contract.</x:v>
      </x:c>
    </x:row>
    <x:row r="119" ht="60" customHeight="1">
      <x:c r="A119" s="9" t="str">
        <x:v>RPT-04</x:v>
      </x:c>
      <x:c r="B119" s="9" t="str">
        <x:v>Custom reports</x:v>
      </x:c>
      <x:c r="C119" s="9" t="str">
        <x:v>Owner / Administrator</x:v>
      </x:c>
      <x:c r="D119" s="9" t="str">
        <x:v>D/B</x:v>
      </x:c>
      <x:c r="E119" s="9" t="str">
        <x:v>Synthetic fixtures; selected mode and SHA recorded; required role available.</x:v>
      </x:c>
      <x:c r="F119" s="9" t="str">
        <x:v>Change filters/columns, preview and export; include formula-like text and a large result.</x:v>
      </x:c>
      <x:c r="G119" s="9" t="str">
        <x:v>Export matches the authorized preview, protects spreadsheet text and handles limits/errors clearly.</x:v>
      </x:c>
      <x:c r="H119" s="9" t="str">
        <x:v>Not run</x:v>
      </x:c>
      <x:c r="I119" s="12" t="str"/>
      <x:c r="J119" s="12" t="str"/>
      <x:c r="K119" s="12" t="str"/>
      <x:c r="L119" s="13"/>
      <x:c r="M119" s="9" t="str">
        <x:v>Backend authorization and source completeness required.</x:v>
      </x:c>
    </x:row>
    <x:row r="120" ht="60" customHeight="1">
      <x:c r="A120" s="9" t="str">
        <x:v>RPT-05</x:v>
      </x:c>
      <x:c r="B120" s="9" t="str">
        <x:v>Custom reports</x:v>
      </x:c>
      <x:c r="C120" s="9" t="str">
        <x:v>Faculty / HICC / VISC / office</x:v>
      </x:c>
      <x:c r="D120" s="9" t="str">
        <x:v>L/B</x:v>
      </x:c>
      <x:c r="E120" s="9" t="str">
        <x:v>Synthetic fixtures; selected mode and SHA recorded; required role available.</x:v>
      </x:c>
      <x:c r="F120" s="9" t="str">
        <x:v>Open Reports directly and attempt download requests.</x:v>
      </x:c>
      <x:c r="G120" s="9" t="str">
        <x:v>Non-admin report endpoints deny access; no private source data is prefetched.</x:v>
      </x:c>
      <x:c r="H120" s="9" t="str">
        <x:v>Not run</x:v>
      </x:c>
      <x:c r="I120" s="12" t="str"/>
      <x:c r="J120" s="12" t="str"/>
      <x:c r="K120" s="12" t="str"/>
      <x:c r="L120" s="13"/>
      <x:c r="M120" s="9" t="str">
        <x:v>Separate role and record scope checks.</x:v>
      </x:c>
    </x:row>
    <x:row r="121" ht="60" customHeight="1">
      <x:c r="A121" s="9" t="str">
        <x:v>ACC-01</x:v>
      </x:c>
      <x:c r="B121" s="9" t="str">
        <x:v>Accounts and effective access</x:v>
      </x:c>
      <x:c r="C121" s="9" t="str">
        <x:v>Owner</x:v>
      </x:c>
      <x:c r="D121" s="9" t="str">
        <x:v>B</x:v>
      </x:c>
      <x:c r="E121" s="9" t="str">
        <x:v>Synthetic fixtures; selected mode and SHA recorded; required role available.</x:v>
      </x:c>
      <x:c r="F121" s="9" t="str">
        <x:v>Search accounts, inspect role/status/faculty association and use preview before a scoped change.</x:v>
      </x:c>
      <x:c r="G121" s="9" t="str">
        <x:v>Versioned preview shows exact before/after/impact; commit returns an auditable confirmed result.</x:v>
      </x:c>
      <x:c r="H121" s="9" t="str">
        <x:v>Not run</x:v>
      </x:c>
      <x:c r="I121" s="12" t="str"/>
      <x:c r="J121" s="12" t="str"/>
      <x:c r="K121" s="12" t="str"/>
      <x:c r="L121" s="13"/>
      <x:c r="M121" s="9" t="str">
        <x:v>PR148 Owner preview/commit is absent in current Testing port.</x:v>
      </x:c>
    </x:row>
    <x:row r="122" ht="60" customHeight="1">
      <x:c r="A122" s="9" t="str">
        <x:v>ACC-02</x:v>
      </x:c>
      <x:c r="B122" s="9" t="str">
        <x:v>Accounts and effective access</x:v>
      </x:c>
      <x:c r="C122" s="9" t="str">
        <x:v>Owner</x:v>
      </x:c>
      <x:c r="D122" s="9" t="str">
        <x:v>B</x:v>
      </x:c>
      <x:c r="E122" s="9" t="str">
        <x:v>Synthetic fixtures; selected mode and SHA recorded; required role available.</x:v>
      </x:c>
      <x:c r="F122" s="9" t="str">
        <x:v>Retry the same operation after a lost response using mixed-case UUID representations.</x:v>
      </x:c>
      <x:c r="G122" s="9" t="str">
        <x:v>Same persisted result is confirmed without duplicate grant/audit; malformed typed IDs reject safely.</x:v>
      </x:c>
      <x:c r="H122" s="9" t="str">
        <x:v>Not run</x:v>
      </x:c>
      <x:c r="I122" s="12" t="str"/>
      <x:c r="J122" s="12" t="str"/>
      <x:c r="K122" s="12" t="str"/>
      <x:c r="L122" s="13"/>
      <x:c r="M122" s="9" t="str">
        <x:v>No new intent to resolve ambiguity.</x:v>
      </x:c>
    </x:row>
    <x:row r="123" ht="60" customHeight="1">
      <x:c r="A123" s="9" t="str">
        <x:v>ACC-03</x:v>
      </x:c>
      <x:c r="B123" s="9" t="str">
        <x:v>Accounts and effective access</x:v>
      </x:c>
      <x:c r="C123" s="9" t="str">
        <x:v>Owner</x:v>
      </x:c>
      <x:c r="D123" s="9" t="str">
        <x:v>B</x:v>
      </x:c>
      <x:c r="E123" s="9" t="str">
        <x:v>Synthetic fixtures; selected mode and SHA recorded; required role available.</x:v>
      </x:c>
      <x:c r="F123" s="9" t="str">
        <x:v>Attempt protected Developer changes, self-demotion and removal of the last Owner.</x:v>
      </x:c>
      <x:c r="G123" s="9" t="str">
        <x:v>Protected targets and unsafe owner changes are refused by the authority before mutation.</x:v>
      </x:c>
      <x:c r="H123" s="9" t="str">
        <x:v>Not run</x:v>
      </x:c>
      <x:c r="I123" s="12" t="str"/>
      <x:c r="J123" s="12" t="str"/>
      <x:c r="K123" s="12" t="str"/>
      <x:c r="L123" s="13"/>
      <x:c r="M123" s="9" t="str">
        <x:v>Older browser form is not proof of PR148 protection.</x:v>
      </x:c>
    </x:row>
    <x:row r="124" ht="60" customHeight="1">
      <x:c r="A124" s="9" t="str">
        <x:v>ACC-04</x:v>
      </x:c>
      <x:c r="B124" s="9" t="str">
        <x:v>Accounts and effective access</x:v>
      </x:c>
      <x:c r="C124" s="9" t="str">
        <x:v>Administrator / Faculty</x:v>
      </x:c>
      <x:c r="D124" s="9" t="str">
        <x:v>B</x:v>
      </x:c>
      <x:c r="E124" s="9" t="str">
        <x:v>Synthetic fixtures; selected mode and SHA recorded; required role available.</x:v>
      </x:c>
      <x:c r="F124" s="9" t="str">
        <x:v>Try Owner account catalog/preview/commit/history directly.</x:v>
      </x:c>
      <x:c r="G124" s="9" t="str">
        <x:v>Every unauthorized management operation is denied, including stale cached permissions.</x:v>
      </x:c>
      <x:c r="H124" s="9" t="str">
        <x:v>Not run</x:v>
      </x:c>
      <x:c r="I124" s="12" t="str"/>
      <x:c r="J124" s="12" t="str"/>
      <x:c r="K124" s="12" t="str"/>
      <x:c r="L124" s="13"/>
      <x:c r="M124" s="9" t="str">
        <x:v>Requires current effective-access subsystem.</x:v>
      </x:c>
    </x:row>
    <x:row r="125" ht="60" customHeight="1">
      <x:c r="A125" s="9" t="str">
        <x:v>ACC-05</x:v>
      </x:c>
      <x:c r="B125" s="9" t="str">
        <x:v>Accounts and effective access</x:v>
      </x:c>
      <x:c r="C125" s="9" t="str">
        <x:v>Faculty with HICC + VISC</x:v>
      </x:c>
      <x:c r="D125" s="9" t="str">
        <x:v>B</x:v>
      </x:c>
      <x:c r="E125" s="9" t="str">
        <x:v>Synthetic fixtures; selected mode and SHA recorded; required role available.</x:v>
      </x:c>
      <x:c r="F125" s="9" t="str">
        <x:v>Inspect My access for Faculty plus a dated course duty and a separate area duty.</x:v>
      </x:c>
      <x:c r="G125" s="9" t="str">
        <x:v>Faculty remains; each duty lists its exact course/area/year/inclusive dates; outside scopes stay denied.</x:v>
      </x:c>
      <x:c r="H125" s="9" t="str">
        <x:v>Not run</x:v>
      </x:c>
      <x:c r="I125" s="12" t="str"/>
      <x:c r="J125" s="12" t="str"/>
      <x:c r="K125" s="12" t="str"/>
      <x:c r="L125" s="13"/>
      <x:c r="M125" s="9" t="str">
        <x:v>Use synthetic equivalent of505 HICC/CC+Bovine VISC; PR148 gap.</x:v>
      </x:c>
    </x:row>
    <x:row r="126" ht="60" customHeight="1">
      <x:c r="A126" s="9" t="str">
        <x:v>ACC-06</x:v>
      </x:c>
      <x:c r="B126" s="9" t="str">
        <x:v>Accounts and effective access</x:v>
      </x:c>
      <x:c r="C126" s="9" t="str">
        <x:v>Owner</x:v>
      </x:c>
      <x:c r="D126" s="9" t="str">
        <x:v>B</x:v>
      </x:c>
      <x:c r="E126" s="9" t="str">
        <x:v>Synthetic fixtures; selected mode and SHA recorded; required role available.</x:v>
      </x:c>
      <x:c r="F126" s="9" t="str">
        <x:v>Confirm two scoped duties through one approved intent, then revoke one and retry stale work.</x:v>
      </x:c>
      <x:c r="G126" s="9" t="str">
        <x:v>Exact grants/audit count, provenance, effective windows and authority epoch are correct; unrelated identity/DOE remains unchanged.</x:v>
      </x:c>
      <x:c r="H126" s="9" t="str">
        <x:v>Not run</x:v>
      </x:c>
      <x:c r="I126" s="12" t="str"/>
      <x:c r="J126" s="12" t="str"/>
      <x:c r="K126" s="12" t="str"/>
      <x:c r="L126" s="13"/>
      <x:c r="M126" s="9" t="str">
        <x:v>Real backend and recovery receipt required.</x:v>
      </x:c>
    </x:row>
    <x:row r="127" ht="60" customHeight="1">
      <x:c r="A127" s="9" t="str">
        <x:v>GRP-01</x:v>
      </x:c>
      <x:c r="B127" s="9" t="str">
        <x:v>Collaboration and announcements</x:v>
      </x:c>
      <x:c r="C127" s="9" t="str">
        <x:v>Owner / HICC</x:v>
      </x:c>
      <x:c r="D127" s="9" t="str">
        <x:v>D/L/B</x:v>
      </x:c>
      <x:c r="E127" s="9" t="str">
        <x:v>Synthetic fixtures; selected mode and SHA recorded; required role available.</x:v>
      </x:c>
      <x:c r="F127" s="9" t="str">
        <x:v>Open owned and unowned groups and inspect owner/membership choices.</x:v>
      </x:c>
      <x:c r="G127" s="9" t="str">
        <x:v>Only permitted groups/actions appear; candidates are sanitized and collaboration does not grant course/DOE rights.</x:v>
      </x:c>
      <x:c r="H127" s="9" t="str">
        <x:v>Not run</x:v>
      </x:c>
      <x:c r="I127" s="12" t="str"/>
      <x:c r="J127" s="12" t="str"/>
      <x:c r="K127" s="12" t="str"/>
      <x:c r="L127" s="13"/>
      <x:c r="M127" s="9" t="str">
        <x:v>Current port uses older group flow; Beta PR148 is target.</x:v>
      </x:c>
    </x:row>
    <x:row r="128" ht="60" customHeight="1">
      <x:c r="A128" s="9" t="str">
        <x:v>GRP-02</x:v>
      </x:c>
      <x:c r="B128" s="9" t="str">
        <x:v>Collaboration and announcements</x:v>
      </x:c>
      <x:c r="C128" s="9" t="str">
        <x:v>Owner</x:v>
      </x:c>
      <x:c r="D128" s="9" t="str">
        <x:v>B</x:v>
      </x:c>
      <x:c r="E128" s="9" t="str">
        <x:v>Synthetic fixtures; selected mode and SHA recorded; required role available.</x:v>
      </x:c>
      <x:c r="F128" s="9" t="str">
        <x:v>Edit membership while retaining a current owner whose base role is Faculty; include an unresolved historical member.</x:v>
      </x:c>
      <x:c r="G128" s="9" t="str">
        <x:v>Actual current owner remains selected; no accidental default transfer; unresolved member is retained for review.</x:v>
      </x:c>
      <x:c r="H128" s="9" t="str">
        <x:v>Not run</x:v>
      </x:c>
      <x:c r="I128" s="12" t="str"/>
      <x:c r="J128" s="12" t="str"/>
      <x:c r="K128" s="12" t="str"/>
      <x:c r="L128" s="13"/>
      <x:c r="M128" s="9" t="str">
        <x:v>PR148 owner-retention correction is a current port gap.</x:v>
      </x:c>
    </x:row>
    <x:row r="129" ht="60" customHeight="1">
      <x:c r="A129" s="9" t="str">
        <x:v>GRP-03</x:v>
      </x:c>
      <x:c r="B129" s="9" t="str">
        <x:v>Collaboration and announcements</x:v>
      </x:c>
      <x:c r="C129" s="9" t="str">
        <x:v>HICC</x:v>
      </x:c>
      <x:c r="D129" s="9" t="str">
        <x:v>L/B</x:v>
      </x:c>
      <x:c r="E129" s="9" t="str">
        <x:v>Synthetic fixtures; selected mode and SHA recorded; required role available.</x:v>
      </x:c>
      <x:c r="F129" s="9" t="str">
        <x:v>Change permitted membership only, then try owner/name/course changes and another group's write.</x:v>
      </x:c>
      <x:c r="G129" s="9" t="str">
        <x:v>Only authorized membership change is accepted with audit/CAS; forbidden edits and stale versions reject.</x:v>
      </x:c>
      <x:c r="H129" s="9" t="str">
        <x:v>Not run</x:v>
      </x:c>
      <x:c r="I129" s="12" t="str"/>
      <x:c r="J129" s="12" t="str"/>
      <x:c r="K129" s="12" t="str"/>
      <x:c r="L129" s="13"/>
      <x:c r="M129" s="9" t="str">
        <x:v>Demo role switching is not security signoff.</x:v>
      </x:c>
    </x:row>
    <x:row r="130" ht="60" customHeight="1">
      <x:c r="A130" s="9" t="str">
        <x:v>GRP-04</x:v>
      </x:c>
      <x:c r="B130" s="9" t="str">
        <x:v>Collaboration and announcements</x:v>
      </x:c>
      <x:c r="C130" s="9" t="str">
        <x:v>Owner / administrator / Faculty</x:v>
      </x:c>
      <x:c r="D130" s="9" t="str">
        <x:v>L/B</x:v>
      </x:c>
      <x:c r="E130" s="9" t="str">
        <x:v>Synthetic fixtures; selected mode and SHA recorded; required role available.</x:v>
      </x:c>
      <x:c r="F130" s="9" t="str">
        <x:v>Publish/read an allowed announcement and test unauthorized publication and stale edits.</x:v>
      </x:c>
      <x:c r="G130" s="9" t="str">
        <x:v>Correct audiences/actors and versioning hold; Faculty cannot publish administrative content.</x:v>
      </x:c>
      <x:c r="H130" s="9" t="str">
        <x:v>Not run</x:v>
      </x:c>
      <x:c r="I130" s="12" t="str"/>
      <x:c r="J130" s="12" t="str"/>
      <x:c r="K130" s="12" t="str"/>
      <x:c r="L130" s="13"/>
      <x:c r="M130" s="9" t="str">
        <x:v>Current source contract must be checked per mode.</x:v>
      </x:c>
    </x:row>
    <x:row r="131" ht="60" customHeight="1">
      <x:c r="A131" s="9" t="str">
        <x:v>GRP-05</x:v>
      </x:c>
      <x:c r="B131" s="9" t="str">
        <x:v>Collaboration and announcements</x:v>
      </x:c>
      <x:c r="C131" s="9" t="str">
        <x:v>Faculty</x:v>
      </x:c>
      <x:c r="D131" s="9" t="str">
        <x:v>B</x:v>
      </x:c>
      <x:c r="E131" s="9" t="str">
        <x:v>Synthetic fixtures; selected mode and SHA recorded; required role available.</x:v>
      </x:c>
      <x:c r="F131" s="9" t="str">
        <x:v>Compare API group/announcement reads with direct Firestore business access after a SQL-authorized migration.</x:v>
      </x:c>
      <x:c r="G131" s="9" t="str">
        <x:v>Trusted replacement works while direct client business paths deny; own password-profile exception stays narrow.</x:v>
      </x:c>
      <x:c r="H131" s="9" t="str">
        <x:v>Not run</x:v>
      </x:c>
      <x:c r="I131" s="12" t="str"/>
      <x:c r="J131" s="12" t="str"/>
      <x:c r="K131" s="12" t="str"/>
      <x:c r="L131" s="13"/>
      <x:c r="M131" s="9" t="str">
        <x:v>Beta PR148 migration contract is not present in this Lab port.</x:v>
      </x:c>
    </x:row>
    <x:row r="132" ht="60" customHeight="1">
      <x:c r="A132" s="9" t="str">
        <x:v>IMP-01</x:v>
      </x:c>
      <x:c r="B132" s="9" t="str">
        <x:v>Bulk imports and source replacement</x:v>
      </x:c>
      <x:c r="C132" s="9" t="str">
        <x:v>Administrator</x:v>
      </x:c>
      <x:c r="D132" s="9" t="str">
        <x:v>D/L/B</x:v>
      </x:c>
      <x:c r="E132" s="9" t="str">
        <x:v>Synthetic fixtures; selected mode and SHA recorded; required role available.</x:v>
      </x:c>
      <x:c r="F132" s="9" t="str">
        <x:v>Download templates, preview synthetic course-calendar, faculty/AFC and supported source files.</x:v>
      </x:c>
      <x:c r="G132" s="9" t="str">
        <x:v>Headers/formats, counts, unknown identities, invalid ranges and duplicate issues are clear before confirmation.</x:v>
      </x:c>
      <x:c r="H132" s="9" t="str">
        <x:v>Not run</x:v>
      </x:c>
      <x:c r="I132" s="12" t="str"/>
      <x:c r="J132" s="12" t="str"/>
      <x:c r="K132" s="12" t="str"/>
      <x:c r="L132" s="13"/>
      <x:c r="M132" s="9" t="str">
        <x:v>Only supported source domains are runnable.</x:v>
      </x:c>
    </x:row>
    <x:row r="133" ht="60" customHeight="1">
      <x:c r="A133" s="9" t="str">
        <x:v>IMP-02</x:v>
      </x:c>
      <x:c r="B133" s="9" t="str">
        <x:v>Bulk imports and source replacement</x:v>
      </x:c>
      <x:c r="C133" s="9" t="str">
        <x:v>Administrator</x:v>
      </x:c>
      <x:c r="D133" s="9" t="str">
        <x:v>B</x:v>
      </x:c>
      <x:c r="E133" s="9" t="str">
        <x:v>Synthetic fixtures; selected mode and SHA recorded; required role available.</x:v>
      </x:c>
      <x:c r="F133" s="9" t="str">
        <x:v>Approve a full-year synthetic replacement, simulate interruption and inspect exact recovery.</x:v>
      </x:c>
      <x:c r="G133" s="9" t="str">
        <x:v>Atomic scope/hash/version checks prevent partial or cross-year replacement; recovery evidence is private and verifiable.</x:v>
      </x:c>
      <x:c r="H133" s="9" t="str">
        <x:v>Not run</x:v>
      </x:c>
      <x:c r="I133" s="12" t="str"/>
      <x:c r="J133" s="12" t="str"/>
      <x:c r="K133" s="12" t="str"/>
      <x:c r="L133" s="13"/>
      <x:c r="M133" s="9" t="str">
        <x:v>No production SQL/import/reset in this Testing run.</x:v>
      </x:c>
    </x:row>
    <x:row r="134" ht="60" customHeight="1">
      <x:c r="A134" s="9" t="str">
        <x:v>IMP-03</x:v>
      </x:c>
      <x:c r="B134" s="9" t="str">
        <x:v>Bulk imports and source replacement</x:v>
      </x:c>
      <x:c r="C134" s="9" t="str">
        <x:v>Administrator</x:v>
      </x:c>
      <x:c r="D134" s="9" t="str">
        <x:v>B</x:v>
      </x:c>
      <x:c r="E134" s="9" t="str">
        <x:v>Synthetic fixtures; selected mode and SHA recorded; required role available.</x:v>
      </x:c>
      <x:c r="F134" s="9" t="str">
        <x:v>Compare CCC/HICC/VISC/Rotation/Trainee imports and DOE reconciliation against source controls.</x:v>
      </x:c>
      <x:c r="G134" s="9" t="str">
        <x:v>Approved periods/defaults and Locum/TBD are retained; significant DOE differences are reported before change.</x:v>
      </x:c>
      <x:c r="H134" s="9" t="str">
        <x:v>Not run</x:v>
      </x:c>
      <x:c r="I134" s="12" t="str"/>
      <x:c r="J134" s="12" t="str"/>
      <x:c r="K134" s="12" t="str"/>
      <x:c r="L134" s="13"/>
      <x:c r="M134" s="9" t="str">
        <x:v>Use saved approved synthetic sources.</x:v>
      </x:c>
    </x:row>
    <x:row r="135" ht="60" customHeight="1">
      <x:c r="A135" s="9" t="str">
        <x:v>SEC-01</x:v>
      </x:c>
      <x:c r="B135" s="9" t="str">
        <x:v>Privacy and failure boundaries</x:v>
      </x:c>
      <x:c r="C135" s="9" t="str">
        <x:v>Each role</x:v>
      </x:c>
      <x:c r="D135" s="9" t="str">
        <x:v>L/B</x:v>
      </x:c>
      <x:c r="E135" s="9" t="str">
        <x:v>Synthetic fixtures; selected mode and SHA recorded; required role available.</x:v>
      </x:c>
      <x:c r="F135" s="9" t="str">
        <x:v>Inspect network payloads, downloads, errors and browser storage for unauthorized private fields.</x:v>
      </x:c>
      <x:c r="G135" s="9" t="str">
        <x:v>No cross-faculty UCID/email/HR/DOE/AFC reason/PDF leakage, even if UI columns are hidden.</x:v>
      </x:c>
      <x:c r="H135" s="9" t="str">
        <x:v>Not run</x:v>
      </x:c>
      <x:c r="I135" s="12" t="str"/>
      <x:c r="J135" s="12" t="str"/>
      <x:c r="K135" s="12" t="str"/>
      <x:c r="L135" s="13"/>
      <x:c r="M135" s="9" t="str">
        <x:v>Use independent normal identities.</x:v>
      </x:c>
    </x:row>
    <x:row r="136" ht="60" customHeight="1">
      <x:c r="A136" s="9" t="str">
        <x:v>SEC-02</x:v>
      </x:c>
      <x:c r="B136" s="9" t="str">
        <x:v>Privacy and failure boundaries</x:v>
      </x:c>
      <x:c r="C136" s="9" t="str">
        <x:v>Each role</x:v>
      </x:c>
      <x:c r="D136" s="9" t="str">
        <x:v>L/B</x:v>
      </x:c>
      <x:c r="E136" s="9" t="str">
        <x:v>Synthetic fixtures; selected mode and SHA recorded; required role available.</x:v>
      </x:c>
      <x:c r="F136" s="9" t="str">
        <x:v>Attempt direct writes/queries outside role, office, faculty, course, academic year and effective dates.</x:v>
      </x:c>
      <x:c r="G136" s="9" t="str">
        <x:v>Trusted authority consistently denies; no client-side fallback or broadened rule rescues the request.</x:v>
      </x:c>
      <x:c r="H136" s="9" t="str">
        <x:v>Not run</x:v>
      </x:c>
      <x:c r="I136" s="12" t="str"/>
      <x:c r="J136" s="12" t="str"/>
      <x:c r="K136" s="12" t="str"/>
      <x:c r="L136" s="13"/>
      <x:c r="M136" s="9" t="str">
        <x:v>Real Lab rules and backend have distinct matrices.</x:v>
      </x:c>
    </x:row>
    <x:row r="137" ht="60" customHeight="1">
      <x:c r="A137" s="9" t="str">
        <x:v>SEC-03</x:v>
      </x:c>
      <x:c r="B137" s="9" t="str">
        <x:v>Privacy and failure boundaries</x:v>
      </x:c>
      <x:c r="C137" s="9" t="str">
        <x:v>All</x:v>
      </x:c>
      <x:c r="D137" s="9" t="str">
        <x:v>D/L/B</x:v>
      </x:c>
      <x:c r="E137" s="9" t="str">
        <x:v>Synthetic fixtures; selected mode and SHA recorded; required role available.</x:v>
      </x:c>
      <x:c r="F137" s="9" t="str">
        <x:v>Exercise forbidden, missing, stale, expired, offline and retry responses in each affected screen.</x:v>
      </x:c>
      <x:c r="G137" s="9" t="str">
        <x:v>UI gives an actionable state, clears unsafe stale data and never reports a failed/ambiguous save as success.</x:v>
      </x:c>
      <x:c r="H137" s="9" t="str">
        <x:v>Not run</x:v>
      </x:c>
      <x:c r="I137" s="12" t="str"/>
      <x:c r="J137" s="12" t="str"/>
      <x:c r="K137" s="12" t="str"/>
      <x:c r="L137" s="13"/>
      <x:c r="M137" s="9" t="str">
        <x:v>Keep original operation identity on uncertain writes.</x:v>
      </x:c>
    </x:row>
    <x:row r="138" ht="60" customHeight="1">
      <x:c r="A138" s="9" t="str">
        <x:v>SEC-04</x:v>
      </x:c>
      <x:c r="B138" s="9" t="str">
        <x:v>Privacy and failure boundaries</x:v>
      </x:c>
      <x:c r="C138" s="9" t="str">
        <x:v>Operator</x:v>
      </x:c>
      <x:c r="D138" s="9" t="str">
        <x:v>D/L</x:v>
      </x:c>
      <x:c r="E138" s="9" t="str">
        <x:v>Synthetic fixtures; selected mode and SHA recorded; required role available.</x:v>
      </x:c>
      <x:c r="F138" s="9" t="str">
        <x:v>Inspect generated artifact and graph inputs for secrets, staff originals, exports and unexpected runtime files.</x:v>
      </x:c>
      <x:c r="G138" s="9" t="str">
        <x:v>Only allowed public assets ship; Graphify/documents and private data stay outside the web artifact.</x:v>
      </x:c>
      <x:c r="H138" s="9" t="str">
        <x:v>Not run</x:v>
      </x:c>
      <x:c r="I138" s="12" t="str"/>
      <x:c r="J138" s="12" t="str"/>
      <x:c r="K138" s="12" t="str"/>
      <x:c r="L138" s="13"/>
      <x:c r="M138" s="9" t="str">
        <x:v>Build manifests, not raw repository publishing.</x:v>
      </x:c>
    </x:row>
    <x:row r="139" ht="60" customHeight="1">
      <x:c r="A139" s="9" t="str">
        <x:v>SEC-05</x:v>
      </x:c>
      <x:c r="B139" s="9" t="str">
        <x:v>Privacy and failure boundaries</x:v>
      </x:c>
      <x:c r="C139" s="9" t="str">
        <x:v>Operator</x:v>
      </x:c>
      <x:c r="D139" s="9" t="str">
        <x:v>B</x:v>
      </x:c>
      <x:c r="E139" s="9" t="str">
        <x:v>Synthetic fixtures; selected mode and SHA recorded; required role available.</x:v>
      </x:c>
      <x:c r="F139" s="9" t="str">
        <x:v>Review service credentials, CORS, TLS, database identity, gates and real delivery configuration in an isolated backend.</x:v>
      </x:c>
      <x:c r="G139" s="9" t="str">
        <x:v>Exact approved target/identity/gates verified; no production credentials are stored in Git/browser artifacts.</x:v>
      </x:c>
      <x:c r="H139" s="9" t="str">
        <x:v>Not run</x:v>
      </x:c>
      <x:c r="I139" s="12" t="str"/>
      <x:c r="J139" s="12" t="str"/>
      <x:c r="K139" s="12" t="str"/>
      <x:c r="L139" s="13"/>
      <x:c r="M139" s="9" t="str">
        <x:v>Not a request to configure production or expose secrets.</x:v>
      </x:c>
    </x:row>
    <x:row r="140" ht="60" customHeight="1">
      <x:c r="A140" s="9" t="str">
        <x:v>REL-01</x:v>
      </x:c>
      <x:c r="B140" s="9" t="str">
        <x:v>Release and handoff</x:v>
      </x:c>
      <x:c r="C140" s="9" t="str">
        <x:v>Operator</x:v>
      </x:c>
      <x:c r="D140" s="9" t="str">
        <x:v>D/L/B</x:v>
      </x:c>
      <x:c r="E140" s="9" t="str">
        <x:v>Synthetic fixtures; selected mode and SHA recorded; required role available.</x:v>
      </x:c>
      <x:c r="F140" s="9" t="str">
        <x:v>Run required repository tests/build and inspect exact-head workflow/artifact evidence.</x:v>
      </x:c>
      <x:c r="G140" s="9" t="str">
        <x:v>Passes, failures/skips and environment blockers are recorded separately; artifact matches tested SHA/mode.</x:v>
      </x:c>
      <x:c r="H140" s="9" t="str">
        <x:v>Not run</x:v>
      </x:c>
      <x:c r="I140" s="12" t="str"/>
      <x:c r="J140" s="12" t="str"/>
      <x:c r="K140" s="12" t="str"/>
      <x:c r="L140" s="13"/>
      <x:c r="M140" s="9" t="str">
        <x:v>No test result or role simulation is a release by itself.</x:v>
      </x:c>
    </x:row>
    <x:row r="141" ht="60" customHeight="1">
      <x:c r="A141" s="9" t="str">
        <x:v>REL-02</x:v>
      </x:c>
      <x:c r="B141" s="9" t="str">
        <x:v>Release and handoff</x:v>
      </x:c>
      <x:c r="C141" s="9" t="str">
        <x:v>Operator</x:v>
      </x:c>
      <x:c r="D141" s="9" t="str">
        <x:v>D/L</x:v>
      </x:c>
      <x:c r="E141" s="9" t="str">
        <x:v>Synthetic fixtures; selected mode and SHA recorded; required role available.</x:v>
      </x:c>
      <x:c r="F141" s="9" t="str">
        <x:v>Merge an approved change, rebuild Graphify from exact merged main and open both views.</x:v>
      </x:c>
      <x:c r="G141" s="9" t="str">
        <x:v>Raw index/hash/counts/warnings and a source-confirmed edge are recorded; a pre-merge graph is not reused as new evidence.</x:v>
      </x:c>
      <x:c r="H141" s="9" t="str">
        <x:v>Not run</x:v>
      </x:c>
      <x:c r="I141" s="12" t="str"/>
      <x:c r="J141" s="12" t="str"/>
      <x:c r="K141" s="12" t="str"/>
      <x:c r="L141" s="13"/>
      <x:c r="M141" s="9" t="str">
        <x:v>See script-dependency-graph.md.</x:v>
      </x:c>
    </x:row>
    <x:row r="142" ht="60" customHeight="1">
      <x:c r="A142" s="9" t="str">
        <x:v>REL-03</x:v>
      </x:c>
      <x:c r="B142" s="9" t="str">
        <x:v>Release and handoff</x:v>
      </x:c>
      <x:c r="C142" s="9" t="str">
        <x:v>Operator / business tester</x:v>
      </x:c>
      <x:c r="D142" s="9" t="str">
        <x:v>D/L/B</x:v>
      </x:c>
      <x:c r="E142" s="9" t="str">
        <x:v>Synthetic fixtures; selected mode and SHA recorded; required role available.</x:v>
      </x:c>
      <x:c r="F142" s="9" t="str">
        <x:v>Compare deployed banner/SHA/mode and execute the affected acceptance cases; record signoff and recovery evidence.</x:v>
      </x:c>
      <x:c r="G142" s="9" t="str">
        <x:v>No false pass for pending adapters, mock persistence or missing integration; actual tester, date, defects and residual risks remain explicit.</x:v>
      </x:c>
      <x:c r="H142" s="9" t="str">
        <x:v>Not run</x:v>
      </x:c>
      <x:c r="I142" s="12" t="str"/>
      <x:c r="J142" s="12" t="str"/>
      <x:c r="K142" s="12" t="str"/>
      <x:c r="L142" s="13"/>
      <x:c r="M142" s="9" t="str">
        <x:v>No prefilled human signature.</x:v>
      </x:c>
    </x:row>
    <x:row r="143" ht="60" customHeight="1">
      <x:c r="A143" s="9" t="str">
        <x:v>REL-04</x:v>
      </x:c>
      <x:c r="B143" s="9" t="str">
        <x:v>Release and handoff</x:v>
      </x:c>
      <x:c r="C143" s="9" t="str">
        <x:v>Operator</x:v>
      </x:c>
      <x:c r="D143" s="9" t="str">
        <x:v>B</x:v>
      </x:c>
      <x:c r="E143" s="9" t="str">
        <x:v>Synthetic fixtures; selected mode and SHA recorded; required role available.</x:v>
      </x:c>
      <x:c r="F143" s="9" t="str">
        <x:v>Perform a separately authorized restart/recovery drill only in a disposable backend.</x:v>
      </x:c>
      <x:c r="G143" s="9" t="str">
        <x:v>Approved API/source/gates/ingress restore without data loss; a changed Quick Tunnel domain is detected, not silently declared healthy.</x:v>
      </x:c>
      <x:c r="H143" s="9" t="str">
        <x:v>Not run</x:v>
      </x:c>
      <x:c r="I143" s="12" t="str"/>
      <x:c r="J143" s="12" t="str"/>
      <x:c r="K143" s="12" t="str"/>
      <x:c r="L143" s="13"/>
      <x:c r="M143" s="9" t="str">
        <x:v>Not executable on the cloud-free Pages frontend.</x:v>
      </x:c>
    </x:row>
    <x:row r="144" ht="60" customHeight="1">
      <x:c r="A144" s="9" t="str">
        <x:v>SUP-01</x:v>
      </x:c>
      <x:c r="B144" s="9" t="str">
        <x:v>Developer support sessions</x:v>
      </x:c>
      <x:c r="C144" s="9" t="str">
        <x:v>Developer</x:v>
      </x:c>
      <x:c r="D144" s="9" t="str">
        <x:v>B</x:v>
      </x:c>
      <x:c r="E144" s="9" t="str">
        <x:v>Synthetic fixtures; selected mode and SHA recorded; required role available.</x:v>
      </x:c>
      <x:c r="F144" s="9" t="str">
        <x:v>Choose an active synthetic target account, submit a blank/oversized reason, then start with a valid reason.</x:v>
      </x:c>
      <x:c r="G144" s="9" t="str">
        <x:v>Reason is required and bounded; only an active supported target starts a30-minute context with the real Developer actor retained.</x:v>
      </x:c>
      <x:c r="H144" s="9" t="str">
        <x:v>Not run</x:v>
      </x:c>
      <x:c r="I144" s="12" t="str"/>
      <x:c r="J144" s="12" t="str"/>
      <x:c r="K144" s="12" t="str"/>
      <x:c r="L144" s="13"/>
      <x:c r="M144" s="9" t="str">
        <x:v>Developer support adapter/backend required; Demo role switching is not equivalent.</x:v>
      </x:c>
    </x:row>
    <x:row r="145" ht="60" customHeight="1">
      <x:c r="A145" s="9" t="str">
        <x:v>SUP-02</x:v>
      </x:c>
      <x:c r="B145" s="9" t="str">
        <x:v>Developer support sessions</x:v>
      </x:c>
      <x:c r="C145" s="9" t="str">
        <x:v>Developer</x:v>
      </x:c>
      <x:c r="D145" s="9" t="str">
        <x:v>B</x:v>
      </x:c>
      <x:c r="E145" s="9" t="str">
        <x:v>Synthetic fixtures; selected mode and SHA recorded; required role available.</x:v>
      </x:c>
      <x:c r="F145" s="9" t="str">
        <x:v>Inspect the support banner and perform an allowed synthetic edit, then inspect recent operations and audit.</x:v>
      </x:c>
      <x:c r="G145" s="9" t="str">
        <x:v>Target context is clear, actions are real in that environment, and actor/target/reason/change capture are attributable without identity transfer.</x:v>
      </x:c>
      <x:c r="H145" s="9" t="str">
        <x:v>Not run</x:v>
      </x:c>
      <x:c r="I145" s="12" t="str"/>
      <x:c r="J145" s="12" t="str"/>
      <x:c r="K145" s="12" t="str"/>
      <x:c r="L145" s="13"/>
      <x:c r="M145" s="9" t="str">
        <x:v>Use disposable backend records only; never real staff data.</x:v>
      </x:c>
    </x:row>
    <x:row r="146" ht="60" customHeight="1">
      <x:c r="A146" s="9" t="str">
        <x:v>SUP-03</x:v>
      </x:c>
      <x:c r="B146" s="9" t="str">
        <x:v>Developer support sessions</x:v>
      </x:c>
      <x:c r="C146" s="9" t="str">
        <x:v>Developer</x:v>
      </x:c>
      <x:c r="D146" s="9" t="str">
        <x:v>B</x:v>
      </x:c>
      <x:c r="E146" s="9" t="str">
        <x:v>Synthetic fixtures; selected mode and SHA recorded; required role available.</x:v>
      </x:c>
      <x:c r="F146" s="9" t="str">
        <x:v>Select Return to myself, reload and inspect subsequent requests and private views.</x:v>
      </x:c>
      <x:c r="G146" s="9" t="str">
        <x:v>Context ends and support headers/cached target data clear; subsequent actions use the Developer's own identity.</x:v>
      </x:c>
      <x:c r="H146" s="9" t="str">
        <x:v>Not run</x:v>
      </x:c>
      <x:c r="I146" s="12" t="str"/>
      <x:c r="J146" s="12" t="str"/>
      <x:c r="K146" s="12" t="str"/>
      <x:c r="L146" s="13"/>
      <x:c r="M146" s="9" t="str">
        <x:v>Ending an already ended context must not reopen it.</x:v>
      </x:c>
    </x:row>
    <x:row r="147" ht="60" customHeight="1">
      <x:c r="A147" s="9" t="str">
        <x:v>SUP-04</x:v>
      </x:c>
      <x:c r="B147" s="9" t="str">
        <x:v>Developer support sessions</x:v>
      </x:c>
      <x:c r="C147" s="9" t="str">
        <x:v>Developer</x:v>
      </x:c>
      <x:c r="D147" s="9" t="str">
        <x:v>B</x:v>
      </x:c>
      <x:c r="E147" s="9" t="str">
        <x:v>Synthetic fixtures; selected mode and SHA recorded; required role available.</x:v>
      </x:c>
      <x:c r="F147" s="9" t="str">
        <x:v>Expire the context at30minutes, disable the target or require its password change, then retry a supported action.</x:v>
      </x:c>
      <x:c r="G147" s="9" t="str">
        <x:v>Expired/ended/unavailable targets fail closed; stale tabs cannot keep acting as the target.</x:v>
      </x:c>
      <x:c r="H147" s="9" t="str">
        <x:v>Not run</x:v>
      </x:c>
      <x:c r="I147" s="12" t="str"/>
      <x:c r="J147" s="12" t="str"/>
      <x:c r="K147" s="12" t="str"/>
      <x:c r="L147" s="13"/>
      <x:c r="M147" s="9" t="str">
        <x:v>Use controlled expiry and target fixtures, not production account edits.</x:v>
      </x:c>
    </x:row>
    <x:row r="148" ht="60" customHeight="1">
      <x:c r="A148" s="9" t="str">
        <x:v>SUP-05</x:v>
      </x:c>
      <x:c r="B148" s="9" t="str">
        <x:v>Developer support sessions</x:v>
      </x:c>
      <x:c r="C148" s="9" t="str">
        <x:v>Developer</x:v>
      </x:c>
      <x:c r="D148" s="9" t="str">
        <x:v>B</x:v>
      </x:c>
      <x:c r="E148" s="9" t="str">
        <x:v>Synthetic fixtures; selected mode and SHA recorded; required role available.</x:v>
      </x:c>
      <x:c r="F148" s="9" t="str">
        <x:v>Undo a captured own operation without a later change; repeat Undo and try another with a conflicting later edit.</x:v>
      </x:c>
      <x:c r="G148" s="9" t="str">
        <x:v>Valid Undo restores only captured data once; conflict/foreign operation is refused and later edits/audit history remain.</x:v>
      </x:c>
      <x:c r="H148" s="9" t="str">
        <x:v>Not run</x:v>
      </x:c>
      <x:c r="I148" s="12" t="str"/>
      <x:c r="J148" s="12" t="str"/>
      <x:c r="K148" s="12" t="str"/>
      <x:c r="L148" s="13"/>
      <x:c r="M148" s="9" t="str">
        <x:v>Actual version/transaction/recovery evidence required.</x:v>
      </x:c>
    </x:row>
    <x:row r="149" ht="60" customHeight="1">
      <x:c r="A149" s="9" t="str">
        <x:v>SUP-06</x:v>
      </x:c>
      <x:c r="B149" s="9" t="str">
        <x:v>Developer support sessions</x:v>
      </x:c>
      <x:c r="C149" s="9" t="str">
        <x:v>Faculty / Administrator / Developer</x:v>
      </x:c>
      <x:c r="D149" s="9" t="str">
        <x:v>B</x:v>
      </x:c>
      <x:c r="E149" s="9" t="str">
        <x:v>Synthetic fixtures; selected mode and SHA recorded; required role available.</x:v>
      </x:c>
      <x:c r="F149" s="9" t="str">
        <x:v>Try non-Developer start/list/end/Undo, a foreign context ID and unsupported support routes such as protected artifacts.</x:v>
      </x:c>
      <x:c r="G149" s="9" t="str">
        <x:v>Authority denies non-Developer/foreign-context or restricted-route access; support is not a blanket data/download bypass.</x:v>
      </x:c>
      <x:c r="H149" s="9" t="str">
        <x:v>Not run</x:v>
      </x:c>
      <x:c r="I149" s="12" t="str"/>
      <x:c r="J149" s="12" t="str"/>
      <x:c r="K149" s="12" t="str"/>
      <x:c r="L149" s="13"/>
      <x:c r="M149" s="9" t="str">
        <x:v>server/src/support/support-service.js is the ported contract.</x:v>
      </x:c>
    </x:row>
  </x:sheetData>
  <x:mergeCells>
    <x:mergeCell ref="A2:M2"/>
    <x:mergeCell ref="B3:F3"/>
    <x:mergeCell ref="H3:I3"/>
    <x:mergeCell ref="K3:M3"/>
    <x:mergeCell ref="B4:F4"/>
    <x:mergeCell ref="H4:I4"/>
    <x:mergeCell ref="K4:M4"/>
    <x:mergeCell ref="A5:M5"/>
  </x:mergeCells>
  <x:conditionalFormatting sqref="H9:H149">
    <x:cfRule type="cellIs" dxfId="0" priority="1" operator="equal">
      <x:formula>"Fail"</x:formula>
    </x:cfRule>
    <x:cfRule type="cellIs" dxfId="1" priority="2" operator="equal">
      <x:formula>"Blocked"</x:formula>
    </x:cfRule>
    <x:cfRule type="cellIs" dxfId="2" priority="3" operator="equal">
      <x:formula>"Pass"</x:formula>
    </x:cfRule>
  </x:conditionalFormatting>
  <x:dataValidations count="2">
    <x:dataValidation type="list" sqref="H3">
      <x:formula1>"Frontend Demo,Firebase Lab,Isolated backend"</x:formula1>
    </x:dataValidation>
    <x:dataValidation type="list" sqref="H9:H149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d461a73621460b"/>
  </x:tableParts>
</x:worksheet>
</file>